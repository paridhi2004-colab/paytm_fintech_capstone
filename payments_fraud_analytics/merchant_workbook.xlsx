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cf92171be6803/Desktop/paytm-fintech-capstone/payments_fraud_analytics/"/>
    </mc:Choice>
  </mc:AlternateContent>
  <xr:revisionPtr revIDLastSave="100" documentId="8_{5C07CD0B-7A1D-4721-A389-F58A92D9064E}" xr6:coauthVersionLast="47" xr6:coauthVersionMax="47" xr10:uidLastSave="{81607559-4021-4CBB-9B92-5412E216A335}"/>
  <bookViews>
    <workbookView xWindow="-108" yWindow="-108" windowWidth="23256" windowHeight="12456" xr2:uid="{1B2BBAD2-E959-4C9C-997D-BC0660AA94FC}"/>
  </bookViews>
  <sheets>
    <sheet name="pivot_summary" sheetId="6" r:id="rId1"/>
    <sheet name="transactions" sheetId="1" r:id="rId2"/>
    <sheet name="merchants" sheetId="2" r:id="rId3"/>
  </sheets>
  <definedNames>
    <definedName name="_xlcn.WorksheetConnection_transactionsA1N5481" hidden="1">transactions!$A$1:$N$548</definedName>
  </definedNames>
  <calcPr calcId="191029"/>
  <pivotCaches>
    <pivotCache cacheId="60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transactions!$A$1:$N$54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8" i="1" l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K2" i="1"/>
  <c r="J2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4C989B-6CB0-42DA-852F-E1842DB239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284805-DF36-41A4-93E1-FFE58EB3C3DA}" name="WorksheetConnection_transactions!$A$1:$N$54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ransactionsA1N5481"/>
        </x15:connection>
      </ext>
    </extLst>
  </connection>
</connections>
</file>

<file path=xl/sharedStrings.xml><?xml version="1.0" encoding="utf-8"?>
<sst xmlns="http://schemas.openxmlformats.org/spreadsheetml/2006/main" count="1801" uniqueCount="627">
  <si>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</si>
  <si>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</si>
  <si>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</si>
  <si>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</si>
  <si>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</si>
  <si>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</si>
  <si>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</si>
  <si>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</si>
  <si>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</si>
  <si>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</si>
  <si>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</si>
  <si>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</si>
  <si>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</si>
  <si>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</si>
  <si>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</si>
  <si>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</si>
  <si>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</si>
  <si>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</si>
  <si>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</si>
  <si>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</si>
  <si>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</si>
  <si>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</si>
  <si>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</si>
  <si>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</si>
  <si>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</si>
  <si>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</si>
  <si>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</si>
  <si>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</si>
  <si>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</si>
  <si>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</si>
  <si>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</si>
  <si>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</si>
  <si>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</si>
  <si>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</si>
  <si>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</si>
  <si>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</si>
  <si>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</si>
  <si>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</si>
  <si>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</si>
  <si>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</si>
  <si>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</si>
  <si>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</si>
  <si>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</si>
  <si>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</si>
  <si>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</si>
  <si>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</si>
  <si>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</si>
  <si>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</si>
  <si>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</si>
  <si>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</si>
  <si>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</si>
  <si>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</si>
  <si>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</si>
  <si>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</si>
  <si>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</si>
  <si>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</si>
  <si>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</si>
  <si>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</si>
  <si>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</si>
  <si>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</si>
  <si>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</si>
  <si>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</si>
  <si>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</si>
  <si>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</si>
  <si>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</si>
  <si>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</si>
  <si>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</si>
  <si>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</si>
  <si>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</si>
  <si>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</si>
  <si>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</si>
  <si>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</si>
  <si>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</si>
  <si>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</si>
  <si>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</si>
  <si>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</si>
  <si>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</si>
  <si>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</si>
  <si>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</si>
  <si>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</si>
  <si>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</si>
  <si>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</si>
  <si>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</si>
  <si>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</si>
  <si>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</si>
  <si>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</si>
  <si>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</si>
  <si>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</si>
  <si>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</si>
  <si>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</si>
  <si>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</si>
  <si>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</si>
  <si>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</si>
  <si>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</si>
  <si>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</si>
  <si>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</si>
  <si>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</si>
  <si>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</si>
  <si>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</si>
  <si>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</si>
  <si>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</si>
  <si>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</si>
  <si>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</si>
  <si>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</si>
  <si>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</si>
  <si>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</si>
  <si>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</si>
  <si>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</si>
  <si>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</si>
  <si>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</si>
  <si>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</si>
  <si>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</si>
  <si>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</si>
  <si>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</si>
  <si>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</si>
  <si>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</si>
  <si>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</si>
  <si>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</si>
  <si>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</si>
  <si>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</si>
  <si>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</si>
  <si>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</si>
  <si>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</si>
  <si>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</si>
  <si>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</si>
  <si>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</si>
  <si>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</si>
  <si>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</si>
  <si>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</si>
  <si>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</si>
  <si>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</si>
  <si>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</si>
  <si>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</si>
  <si>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</si>
  <si>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</si>
  <si>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</si>
  <si>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</si>
  <si>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</si>
  <si>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</si>
  <si>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</si>
  <si>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</si>
  <si>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</si>
  <si>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</si>
  <si>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</si>
  <si>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</si>
  <si>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</si>
  <si>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</si>
  <si>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</si>
  <si>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</si>
  <si>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</si>
  <si>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</si>
  <si>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</si>
  <si>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</si>
  <si>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</si>
  <si>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</si>
  <si>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</si>
  <si>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</si>
  <si>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</si>
  <si>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</si>
  <si>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</si>
  <si>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</si>
  <si>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</si>
  <si>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</si>
  <si>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</si>
  <si>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</si>
  <si>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</si>
  <si>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</si>
  <si>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</si>
  <si>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</si>
  <si>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</si>
  <si>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</si>
  <si>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</si>
  <si>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</si>
  <si>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</si>
  <si>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</si>
  <si>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</si>
  <si>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</si>
  <si>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</si>
  <si>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</si>
  <si>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</si>
  <si>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</si>
  <si>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</si>
  <si>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</si>
  <si>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</si>
  <si>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</si>
  <si>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</si>
  <si>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</si>
  <si>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</si>
  <si>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</si>
  <si>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</si>
  <si>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</si>
  <si>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</si>
  <si>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</si>
  <si>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</si>
  <si>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</si>
  <si>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</si>
  <si>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</si>
  <si>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</si>
  <si>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</si>
  <si>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</si>
  <si>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</si>
  <si>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</si>
  <si>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</si>
  <si>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</si>
  <si>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</si>
  <si>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</si>
  <si>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</si>
  <si>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</si>
  <si>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</si>
  <si>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</si>
  <si>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</si>
  <si>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</si>
  <si>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</si>
  <si>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</si>
  <si>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</si>
  <si>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</si>
  <si>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</si>
  <si>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</si>
  <si>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</si>
  <si>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</si>
  <si>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</si>
  <si>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</si>
  <si>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</si>
  <si>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</si>
  <si>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</si>
  <si>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</si>
  <si>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</si>
  <si>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</si>
  <si>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</si>
  <si>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</si>
  <si>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</si>
  <si>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</si>
  <si>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</si>
  <si>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</si>
  <si>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</si>
  <si>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</si>
  <si>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</si>
  <si>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</si>
  <si>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</si>
  <si>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</si>
  <si>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</si>
  <si>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</si>
  <si>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</si>
  <si>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</si>
  <si>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</si>
  <si>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</si>
  <si>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</si>
  <si>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</si>
  <si>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</si>
  <si>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</si>
  <si>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</si>
  <si>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</si>
  <si>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</si>
  <si>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</si>
  <si>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</si>
  <si>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</si>
  <si>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</si>
  <si>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</si>
  <si>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</si>
  <si>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</si>
  <si>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</si>
  <si>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</si>
  <si>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</si>
  <si>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</si>
  <si>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</si>
  <si>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</si>
  <si>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</si>
  <si>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</si>
  <si>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</si>
  <si>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</si>
  <si>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</si>
  <si>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</si>
  <si>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</si>
  <si>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</si>
  <si>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</si>
  <si>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</si>
  <si>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</si>
  <si>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</si>
  <si>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</si>
  <si>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</si>
  <si>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</si>
  <si>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</si>
  <si>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</si>
  <si>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</si>
  <si>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</si>
  <si>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</si>
  <si>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</si>
  <si>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</si>
  <si>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</si>
  <si>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</si>
  <si>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</si>
  <si>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</si>
  <si>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</si>
  <si>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</si>
  <si>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</si>
  <si>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</si>
  <si>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</si>
  <si>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</si>
  <si>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</si>
  <si>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</si>
  <si>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</si>
  <si>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</si>
  <si>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</si>
  <si>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</si>
  <si>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</si>
  <si>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</si>
  <si>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</si>
  <si>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</si>
  <si>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</si>
  <si>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</si>
  <si>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</si>
  <si>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</si>
  <si>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</si>
  <si>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</si>
  <si>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</si>
  <si>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</si>
  <si>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</si>
  <si>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</si>
  <si>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</si>
  <si>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</si>
  <si>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</si>
  <si>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</si>
  <si>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</si>
  <si>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</si>
  <si>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</si>
  <si>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</si>
  <si>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</si>
  <si>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</si>
  <si>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</si>
  <si>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</si>
  <si>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</si>
  <si>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</si>
  <si>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</si>
  <si>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</si>
  <si>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</si>
  <si>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</si>
  <si>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</si>
  <si>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</si>
  <si>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</si>
  <si>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</si>
  <si>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</si>
  <si>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</si>
  <si>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</si>
  <si>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</si>
  <si>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</si>
  <si>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</si>
  <si>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</si>
  <si>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</si>
  <si>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</si>
  <si>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</si>
  <si>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</si>
  <si>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</si>
  <si>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</si>
  <si>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</si>
  <si>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</si>
  <si>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</si>
  <si>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</si>
  <si>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</si>
  <si>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</si>
  <si>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</si>
  <si>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</si>
  <si>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</si>
  <si>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</si>
  <si>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</si>
  <si>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</si>
  <si>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</si>
  <si>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</si>
  <si>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</si>
  <si>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</si>
  <si>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</si>
  <si>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</si>
  <si>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</si>
  <si>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</si>
  <si>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</si>
  <si>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</si>
  <si>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</si>
  <si>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</si>
  <si>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</si>
  <si>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</si>
  <si>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</si>
  <si>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</si>
  <si>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</si>
  <si>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</si>
  <si>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</si>
  <si>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</si>
  <si>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</si>
  <si>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</si>
  <si>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</si>
  <si>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</si>
  <si>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</si>
  <si>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</si>
  <si>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</si>
  <si>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</si>
  <si>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</si>
  <si>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</si>
  <si>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</si>
  <si>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</si>
  <si>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</si>
  <si>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</si>
  <si>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</si>
  <si>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</si>
  <si>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</si>
  <si>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</si>
  <si>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</si>
  <si>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</si>
  <si>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</si>
  <si>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</si>
  <si>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</si>
  <si>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</si>
  <si>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</si>
  <si>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</si>
  <si>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</si>
  <si>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</si>
  <si>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</si>
  <si>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</si>
  <si>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</si>
  <si>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</si>
  <si>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</si>
  <si>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</si>
  <si>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</si>
  <si>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</si>
  <si>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</si>
  <si>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</si>
  <si>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</si>
  <si>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</si>
  <si>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</si>
  <si>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</si>
  <si>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</si>
  <si>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</si>
  <si>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</si>
  <si>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</si>
  <si>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</si>
  <si>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</si>
  <si>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</si>
  <si>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</si>
  <si>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</si>
  <si>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</si>
  <si>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</si>
  <si>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</si>
  <si>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</si>
  <si>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</si>
  <si>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</si>
  <si>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</si>
  <si>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</si>
  <si>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</si>
  <si>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</si>
  <si>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</si>
  <si>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</si>
  <si>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</si>
  <si>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</si>
  <si>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</si>
  <si>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</si>
  <si>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</si>
  <si>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</si>
  <si>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</si>
  <si>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</si>
  <si>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</si>
  <si>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</si>
  <si>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</si>
  <si>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</si>
  <si>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</si>
  <si>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</si>
  <si>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</si>
  <si>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</si>
  <si>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</si>
  <si>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</si>
  <si>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</si>
  <si>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</si>
  <si>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</si>
  <si>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</si>
  <si>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</si>
  <si>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</si>
  <si>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</si>
  <si>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</si>
  <si>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</si>
  <si>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</si>
  <si>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</si>
  <si>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</si>
  <si>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</si>
  <si>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</si>
  <si>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</si>
  <si>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</si>
  <si>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</si>
  <si>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</si>
  <si>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</si>
  <si>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</si>
  <si>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</si>
  <si>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</si>
  <si>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</si>
  <si>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</si>
  <si>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</si>
  <si>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</si>
  <si>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</si>
  <si>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</si>
  <si>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</si>
  <si>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</si>
  <si>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</si>
  <si>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</si>
  <si>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</si>
  <si>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</si>
  <si>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</si>
  <si>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</si>
  <si>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</si>
  <si>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</si>
  <si>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</si>
  <si>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</si>
  <si>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</si>
  <si>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</si>
  <si>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</si>
  <si>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</si>
  <si>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</si>
  <si>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</si>
  <si>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</si>
  <si>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</si>
  <si>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</si>
  <si>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</si>
  <si>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</si>
  <si>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</si>
  <si>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</si>
  <si>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</si>
  <si>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</si>
  <si>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</si>
  <si>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</si>
  <si>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</si>
  <si>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</si>
  <si>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</si>
  <si>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</si>
  <si>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</si>
  <si>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</si>
  <si>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</si>
  <si>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</si>
  <si>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</si>
  <si>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</si>
  <si>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</si>
  <si>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</si>
  <si>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</si>
  <si>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</si>
  <si>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</si>
  <si>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</si>
  <si>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</si>
  <si>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</si>
  <si>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</si>
  <si>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</si>
  <si>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</si>
  <si>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</si>
  <si>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</si>
  <si>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</si>
  <si>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</si>
  <si>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</si>
  <si>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</si>
  <si>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</si>
  <si>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</si>
  <si>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</si>
  <si>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</si>
  <si>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</si>
  <si>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</si>
  <si>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</si>
  <si>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</si>
  <si>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</si>
  <si>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</si>
  <si>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</si>
  <si>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</si>
  <si>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</si>
  <si>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</si>
  <si>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</si>
  <si>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</si>
  <si>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</si>
  <si>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</si>
  <si>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</si>
  <si>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</si>
  <si>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</si>
  <si>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</si>
  <si>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</si>
  <si>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</si>
  <si>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</si>
  <si>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</si>
  <si>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</si>
  <si>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</si>
  <si>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</si>
  <si>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</si>
  <si>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</si>
  <si>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</si>
  <si>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</si>
  <si>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</si>
  <si>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</si>
  <si>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</si>
  <si>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</si>
  <si>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</si>
  <si>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</si>
  <si>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</si>
  <si>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</si>
  <si>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</si>
  <si>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</si>
  <si>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</si>
  <si>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</si>
  <si>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</si>
  <si>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</si>
  <si>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</si>
  <si>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</si>
  <si>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</si>
  <si>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</si>
  <si>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</si>
  <si>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</si>
  <si>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</si>
  <si>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</si>
  <si>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</si>
  <si>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</si>
  <si>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</si>
  <si>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</si>
  <si>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</si>
  <si>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</si>
  <si>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</si>
  <si>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</si>
  <si>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</si>
  <si>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</si>
  <si>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</si>
  <si>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fee_percentage</t>
  </si>
  <si>
    <t xml:space="preserve">High-Value Merchant Day </t>
  </si>
  <si>
    <t>Grand Total</t>
  </si>
  <si>
    <t>Column Labels</t>
  </si>
  <si>
    <t>Sum of amount_inr</t>
  </si>
  <si>
    <t>Total Sum of amount_inr</t>
  </si>
  <si>
    <t>Total Count of transaction_id</t>
  </si>
  <si>
    <t>Count of transaction_id</t>
  </si>
  <si>
    <t>transaction_date</t>
  </si>
  <si>
    <t>Distinct Count of transaction_date</t>
  </si>
  <si>
    <t>Total Distinct Count of 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</si>
</sst>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vya" refreshedDate="46258.940850347222" backgroundQuery="1" createdVersion="8" refreshedVersion="8" minRefreshableVersion="3" recordCount="0" supportSubquery="1" supportAdvancedDrill="1" xr:uid="{4E73608E-C895-4655-B82B-D45CADEAF810}">
  <cacheSource type="external" connectionId="1"/>
  <cacheFields count="5">
    <cacheField name="[Range].[merchant_id].[merchant_id]" caption="merchant_id" numFmtId="0" hierarchy="2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Range].[merchant_id].&amp;[1]"/>
            <x15:cachedUniqueName index="1" name="[Range].[merchant_id].&amp;[2]"/>
            <x15:cachedUniqueName index="2" name="[Range].[merchant_id].&amp;[3]"/>
            <x15:cachedUniqueName index="3" name="[Range].[merchant_id].&amp;[4]"/>
            <x15:cachedUniqueName index="4" name="[Range].[merchant_id].&amp;[5]"/>
          </x15:cachedUniqueNames>
        </ext>
      </extLst>
    </cacheField>
    <cacheField name="[Range].[status].[status]" caption="status" numFmtId="0" hierarchy="6" level="1">
      <sharedItems count="3">
        <s v="captured"/>
        <s v="chargeback"/>
        <s v="failed"/>
      </sharedItems>
    </cacheField>
    <cacheField name="[Measures].[Sum of amount_inr]" caption="Sum of amount_inr" numFmtId="0" hierarchy="16" level="32767"/>
    <cacheField name="[Measures].[Count of transaction_id]" caption="Count of transaction_id" numFmtId="0" hierarchy="17" level="32767"/>
    <cacheField name="[Measures].[Distinct Count of transaction_date]" caption="Distinct Count of transaction_date" numFmtId="0" hierarchy="19" level="32767"/>
  </cacheFields>
  <cacheHierarchies count="20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transaction_time]" caption="transaction_time" attribute="1" time="1" defaultMemberUniqueName="[Range].[transaction_time].[All]" allUniqueName="[Range].[transaction_time].[All]" dimensionUniqueName="[Range]" displayFolder="" count="0" memberValueDatatype="7" unbalanced="0"/>
    <cacheHierarchy uniqueName="[Range].[amount_inr]" caption="amount_inr" attribute="1" defaultMemberUniqueName="[Range].[amount_inr].[All]" allUniqueName="[Range].[amount_inr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isk_score]" caption="risk_score" attribute="1" defaultMemberUniqueName="[Range].[risk_score].[All]" allUniqueName="[Range].[risk_score].[All]" dimensionUniqueName="[Range]" displayFolder="" count="0" memberValueDatatype="20" unbalanced="0"/>
    <cacheHierarchy uniqueName="[Range].[merchant_name]" caption="merchant_name" attribute="1" defaultMemberUniqueName="[Range].[merchant_name].[All]" allUniqueName="[Range].[merchant_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fee_percentage]" caption="fee_percentage" attribute="1" defaultMemberUniqueName="[Range].[fee_percentage].[All]" allUniqueName="[Range].[fee_percentage].[All]" dimensionUniqueName="[Range]" displayFolder="" count="0" memberValueDatatype="5" unbalanced="0"/>
    <cacheHierarchy uniqueName="[Range].[High-Value Merchant Day]" caption="High-Value Merchant Day" attribute="1" defaultMemberUniqueName="[Range].[High-Value Merchant Day].[All]" allUniqueName="[Range].[High-Value Merchant Day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_inr]" caption="Sum of amount_in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_date]" caption="Count of transaction_dat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transaction_date]" caption="Distinct Count of transaction_date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C42A4-3023-4469-88A4-A337C3B3F86F}" name="PivotTable4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erchant_id">
  <location ref="A3:M11" firstHeaderRow="1" firstDataRow="3" firstDataCol="1"/>
  <pivotFields count="5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mount_inr" fld="2" baseField="0" baseItem="0"/>
    <dataField name="Count of transaction_id" fld="3" subtotal="count" baseField="0" baseItem="0"/>
    <dataField name="Distinct Count of transaction_date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transaction_date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2">
    <colHierarchyUsage hierarchyUsage="6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N$54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DE4A-4D36-4E72-9556-11A0EF3CDB2B}">
  <dimension ref="A3:M11"/>
  <sheetViews>
    <sheetView tabSelected="1" workbookViewId="0">
      <selection activeCell="D16" sqref="D16"/>
    </sheetView>
  </sheetViews>
  <sheetFormatPr defaultRowHeight="14.4" x14ac:dyDescent="0.3"/>
  <cols>
    <col min="1" max="1" width="13.6640625" bestFit="1" customWidth="1"/>
    <col min="2" max="2" width="16.44140625" bestFit="1" customWidth="1"/>
    <col min="3" max="3" width="20.21875" bestFit="1" customWidth="1"/>
    <col min="4" max="4" width="29.5546875" bestFit="1" customWidth="1"/>
    <col min="5" max="5" width="16.44140625" bestFit="1" customWidth="1"/>
    <col min="6" max="6" width="20.21875" bestFit="1" customWidth="1"/>
    <col min="7" max="7" width="29.5546875" bestFit="1" customWidth="1"/>
    <col min="8" max="8" width="16.44140625" bestFit="1" customWidth="1"/>
    <col min="9" max="9" width="20.21875" bestFit="1" customWidth="1"/>
    <col min="10" max="10" width="29.5546875" bestFit="1" customWidth="1"/>
    <col min="11" max="11" width="21" bestFit="1" customWidth="1"/>
    <col min="12" max="12" width="24.77734375" bestFit="1" customWidth="1"/>
    <col min="13" max="13" width="34.109375" bestFit="1" customWidth="1"/>
  </cols>
  <sheetData>
    <row r="3" spans="1:13" x14ac:dyDescent="0.3">
      <c r="B3" s="3" t="s">
        <v>619</v>
      </c>
    </row>
    <row r="4" spans="1:13" x14ac:dyDescent="0.3">
      <c r="B4" t="s">
        <v>10</v>
      </c>
      <c r="E4" t="s">
        <v>38</v>
      </c>
      <c r="H4" t="s">
        <v>25</v>
      </c>
      <c r="K4" t="s">
        <v>621</v>
      </c>
      <c r="L4" t="s">
        <v>622</v>
      </c>
      <c r="M4" t="s">
        <v>626</v>
      </c>
    </row>
    <row r="5" spans="1:13" x14ac:dyDescent="0.3">
      <c r="A5" s="3" t="s">
        <v>2</v>
      </c>
      <c r="B5" t="s">
        <v>620</v>
      </c>
      <c r="C5" t="s">
        <v>623</v>
      </c>
      <c r="D5" t="s">
        <v>625</v>
      </c>
      <c r="E5" t="s">
        <v>620</v>
      </c>
      <c r="F5" t="s">
        <v>623</v>
      </c>
      <c r="G5" t="s">
        <v>625</v>
      </c>
      <c r="H5" t="s">
        <v>620</v>
      </c>
      <c r="I5" t="s">
        <v>623</v>
      </c>
      <c r="J5" t="s">
        <v>625</v>
      </c>
    </row>
    <row r="6" spans="1:13" x14ac:dyDescent="0.3">
      <c r="A6" s="4">
        <v>1</v>
      </c>
      <c r="B6" s="6">
        <v>10142</v>
      </c>
      <c r="C6" s="6">
        <v>8</v>
      </c>
      <c r="D6" s="6">
        <v>6</v>
      </c>
      <c r="E6" s="6"/>
      <c r="F6" s="6"/>
      <c r="G6" s="6"/>
      <c r="H6" s="6">
        <v>299</v>
      </c>
      <c r="I6" s="6">
        <v>1</v>
      </c>
      <c r="J6" s="6">
        <v>1</v>
      </c>
      <c r="K6" s="6">
        <v>10441</v>
      </c>
      <c r="L6" s="6">
        <v>9</v>
      </c>
      <c r="M6" s="6">
        <v>7</v>
      </c>
    </row>
    <row r="7" spans="1:13" x14ac:dyDescent="0.3">
      <c r="A7" s="4">
        <v>2</v>
      </c>
      <c r="B7" s="6">
        <v>3640</v>
      </c>
      <c r="C7" s="6">
        <v>10</v>
      </c>
      <c r="D7" s="6">
        <v>9</v>
      </c>
      <c r="E7" s="6"/>
      <c r="F7" s="6"/>
      <c r="G7" s="6"/>
      <c r="H7" s="6"/>
      <c r="I7" s="6"/>
      <c r="J7" s="6"/>
      <c r="K7" s="6">
        <v>3640</v>
      </c>
      <c r="L7" s="6">
        <v>10</v>
      </c>
      <c r="M7" s="6">
        <v>9</v>
      </c>
    </row>
    <row r="8" spans="1:13" x14ac:dyDescent="0.3">
      <c r="A8" s="4">
        <v>3</v>
      </c>
      <c r="B8" s="6">
        <v>8084</v>
      </c>
      <c r="C8" s="6">
        <v>16</v>
      </c>
      <c r="D8" s="6">
        <v>13</v>
      </c>
      <c r="E8" s="6">
        <v>149</v>
      </c>
      <c r="F8" s="6">
        <v>1</v>
      </c>
      <c r="G8" s="6">
        <v>1</v>
      </c>
      <c r="H8" s="6"/>
      <c r="I8" s="6"/>
      <c r="J8" s="6"/>
      <c r="K8" s="6">
        <v>8233</v>
      </c>
      <c r="L8" s="6">
        <v>17</v>
      </c>
      <c r="M8" s="6">
        <v>13</v>
      </c>
    </row>
    <row r="9" spans="1:13" x14ac:dyDescent="0.3">
      <c r="A9" s="4">
        <v>4</v>
      </c>
      <c r="B9" s="6">
        <v>6941</v>
      </c>
      <c r="C9" s="6">
        <v>9</v>
      </c>
      <c r="D9" s="6">
        <v>7</v>
      </c>
      <c r="E9" s="6"/>
      <c r="F9" s="6"/>
      <c r="G9" s="6"/>
      <c r="H9" s="6"/>
      <c r="I9" s="6"/>
      <c r="J9" s="6"/>
      <c r="K9" s="6">
        <v>6941</v>
      </c>
      <c r="L9" s="6">
        <v>9</v>
      </c>
      <c r="M9" s="6">
        <v>7</v>
      </c>
    </row>
    <row r="10" spans="1:13" x14ac:dyDescent="0.3">
      <c r="A10" s="4">
        <v>5</v>
      </c>
      <c r="B10" s="6">
        <v>5340</v>
      </c>
      <c r="C10" s="6">
        <v>10</v>
      </c>
      <c r="D10" s="6">
        <v>8</v>
      </c>
      <c r="E10" s="6"/>
      <c r="F10" s="6"/>
      <c r="G10" s="6"/>
      <c r="H10" s="6">
        <v>499</v>
      </c>
      <c r="I10" s="6">
        <v>1</v>
      </c>
      <c r="J10" s="6">
        <v>1</v>
      </c>
      <c r="K10" s="6">
        <v>5839</v>
      </c>
      <c r="L10" s="6">
        <v>11</v>
      </c>
      <c r="M10" s="6">
        <v>9</v>
      </c>
    </row>
    <row r="11" spans="1:13" x14ac:dyDescent="0.3">
      <c r="A11" s="4" t="s">
        <v>618</v>
      </c>
      <c r="B11" s="6">
        <v>34147</v>
      </c>
      <c r="C11" s="6">
        <v>53</v>
      </c>
      <c r="D11" s="6">
        <v>23</v>
      </c>
      <c r="E11" s="6">
        <v>149</v>
      </c>
      <c r="F11" s="6">
        <v>1</v>
      </c>
      <c r="G11" s="6">
        <v>1</v>
      </c>
      <c r="H11" s="6">
        <v>798</v>
      </c>
      <c r="I11" s="6">
        <v>2</v>
      </c>
      <c r="J11" s="6">
        <v>2</v>
      </c>
      <c r="K11" s="6">
        <v>35094</v>
      </c>
      <c r="L11" s="6">
        <v>56</v>
      </c>
      <c r="M11" s="6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0628-90DA-4BB2-9702-D89A6DB40839}">
  <dimension ref="A1:N548"/>
  <sheetViews>
    <sheetView workbookViewId="0">
      <selection activeCell="L14" sqref="A1:N548"/>
    </sheetView>
  </sheetViews>
  <sheetFormatPr defaultRowHeight="14.4" x14ac:dyDescent="0.3"/>
  <cols>
    <col min="1" max="1" width="12.33203125" bestFit="1" customWidth="1"/>
    <col min="3" max="3" width="11" bestFit="1" customWidth="1"/>
    <col min="4" max="4" width="15.33203125" bestFit="1" customWidth="1"/>
    <col min="5" max="5" width="10.5546875" customWidth="1"/>
    <col min="6" max="6" width="14.88671875" bestFit="1" customWidth="1"/>
    <col min="9" max="9" width="14.21875" bestFit="1" customWidth="1"/>
    <col min="10" max="10" width="12.33203125" bestFit="1" customWidth="1"/>
    <col min="12" max="12" width="13.5546875" bestFit="1" customWidth="1"/>
    <col min="13" max="13" width="21.88671875" bestFit="1" customWidth="1"/>
    <col min="14" max="14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562</v>
      </c>
      <c r="J1" t="s">
        <v>563</v>
      </c>
      <c r="K1" t="s">
        <v>564</v>
      </c>
      <c r="L1" t="s">
        <v>616</v>
      </c>
      <c r="M1" t="s">
        <v>617</v>
      </c>
      <c r="N1" t="s">
        <v>624</v>
      </c>
    </row>
    <row r="2" spans="1:14" x14ac:dyDescent="0.3">
      <c r="A2" t="s">
        <v>8</v>
      </c>
      <c r="B2">
        <v>350</v>
      </c>
      <c r="C2">
        <v>16</v>
      </c>
      <c r="D2" s="1">
        <v>46051.467361111114</v>
      </c>
      <c r="E2">
        <v>2999</v>
      </c>
      <c r="F2" t="s">
        <v>9</v>
      </c>
      <c r="G2" t="s">
        <v>10</v>
      </c>
      <c r="H2">
        <v>85</v>
      </c>
      <c r="I2" t="str">
        <f>IFERROR(VLOOKUP(C2, merchants!$A$2:$D$41, 2, FALSE), "Merchant not found")</f>
        <v>Merchant_016</v>
      </c>
      <c r="J2" t="str">
        <f>IFERROR(VLOOKUP(C2, merchants!$A$2:$D$41, 3, FALSE), "Merchant not found")</f>
        <v>bill_payment</v>
      </c>
      <c r="K2" t="str">
        <f>IFERROR(VLOOKUP(C2, merchants!$A$2:$D$41, 4, FALSE), "Merchant not found")</f>
        <v>West</v>
      </c>
      <c r="L2" s="2">
        <f>HLOOKUP(F2, merchants!$F$1:$I$2, 2, FALSE)</f>
        <v>1.4999999999999999E-2</v>
      </c>
      <c r="M2" t="str">
        <f>IF(AND(SUMIFS($E:$E, $C:$C, C2, $D:$D, "&gt;="&amp;INT(D2), $D:$D, "&lt;"&amp;INT(D2)+1) &gt; 5000, K2 &lt;&gt; "East"), "High-Value Day", "Regular")</f>
        <v>Regular</v>
      </c>
      <c r="N2" s="5">
        <f>INT(D2)</f>
        <v>46051</v>
      </c>
    </row>
    <row r="3" spans="1:14" x14ac:dyDescent="0.3">
      <c r="A3" t="s">
        <v>11</v>
      </c>
      <c r="B3">
        <v>287</v>
      </c>
      <c r="C3">
        <v>27</v>
      </c>
      <c r="D3" s="1">
        <v>46026.492361111108</v>
      </c>
      <c r="E3">
        <v>49</v>
      </c>
      <c r="F3" t="s">
        <v>12</v>
      </c>
      <c r="G3" t="s">
        <v>10</v>
      </c>
      <c r="H3">
        <v>79</v>
      </c>
      <c r="I3" t="str">
        <f>IFERROR(VLOOKUP(C3, merchants!$A$2:$D$41, 2, FALSE), "Merchant not found")</f>
        <v>Merchant_027</v>
      </c>
      <c r="J3" t="str">
        <f>IFERROR(VLOOKUP(C3, merchants!$A$2:$D$41, 3, FALSE), "Merchant not found")</f>
        <v>ecommerce</v>
      </c>
      <c r="K3" t="str">
        <f>IFERROR(VLOOKUP(C3, merchants!$A$2:$D$41, 4, FALSE), "Merchant not found")</f>
        <v>North</v>
      </c>
      <c r="L3" s="2">
        <f>HLOOKUP(F3, merchants!$F$1:$I$2, 2, FALSE)</f>
        <v>0</v>
      </c>
      <c r="M3" t="str">
        <f t="shared" ref="M3:M66" si="0">IF(AND(SUMIFS($E:$E, $C:$C, C3, $D:$D, "&gt;="&amp;INT(D3), $D:$D, "&lt;"&amp;INT(D3)+1) &gt; 5000, K3 &lt;&gt; "East"), "High-Value Day", "Regular")</f>
        <v>Regular</v>
      </c>
      <c r="N3" s="5">
        <f t="shared" ref="N3:N66" si="1">INT(D3)</f>
        <v>46026</v>
      </c>
    </row>
    <row r="4" spans="1:14" x14ac:dyDescent="0.3">
      <c r="A4" t="s">
        <v>13</v>
      </c>
      <c r="B4">
        <v>122</v>
      </c>
      <c r="C4">
        <v>11</v>
      </c>
      <c r="D4" s="1">
        <v>46046.207638888889</v>
      </c>
      <c r="E4">
        <v>1499</v>
      </c>
      <c r="F4" t="s">
        <v>9</v>
      </c>
      <c r="G4" t="s">
        <v>10</v>
      </c>
      <c r="H4">
        <v>22</v>
      </c>
      <c r="I4" t="str">
        <f>IFERROR(VLOOKUP(C4, merchants!$A$2:$D$41, 2, FALSE), "Merchant not found")</f>
        <v>Merchant_011</v>
      </c>
      <c r="J4" t="str">
        <f>IFERROR(VLOOKUP(C4, merchants!$A$2:$D$41, 3, FALSE), "Merchant not found")</f>
        <v>ecommerce</v>
      </c>
      <c r="K4" t="str">
        <f>IFERROR(VLOOKUP(C4, merchants!$A$2:$D$41, 4, FALSE), "Merchant not found")</f>
        <v>North</v>
      </c>
      <c r="L4" s="2">
        <f>HLOOKUP(F4, merchants!$F$1:$I$2, 2, FALSE)</f>
        <v>1.4999999999999999E-2</v>
      </c>
      <c r="M4" t="str">
        <f t="shared" si="0"/>
        <v>Regular</v>
      </c>
      <c r="N4" s="5">
        <f t="shared" si="1"/>
        <v>46046</v>
      </c>
    </row>
    <row r="5" spans="1:14" x14ac:dyDescent="0.3">
      <c r="A5" t="s">
        <v>14</v>
      </c>
      <c r="B5">
        <v>92</v>
      </c>
      <c r="C5">
        <v>22</v>
      </c>
      <c r="D5" s="1">
        <v>46051.542361111111</v>
      </c>
      <c r="E5">
        <v>49</v>
      </c>
      <c r="F5" t="s">
        <v>15</v>
      </c>
      <c r="G5" t="s">
        <v>10</v>
      </c>
      <c r="H5">
        <v>100</v>
      </c>
      <c r="I5" t="str">
        <f>IFERROR(VLOOKUP(C5, merchants!$A$2:$D$41, 2, FALSE), "Merchant not found")</f>
        <v>Merchant_022</v>
      </c>
      <c r="J5" t="str">
        <f>IFERROR(VLOOKUP(C5, merchants!$A$2:$D$41, 3, FALSE), "Merchant not found")</f>
        <v>travel</v>
      </c>
      <c r="K5" t="str">
        <f>IFERROR(VLOOKUP(C5, merchants!$A$2:$D$41, 4, FALSE), "Merchant not found")</f>
        <v>South</v>
      </c>
      <c r="L5" s="2">
        <f>HLOOKUP(F5, merchants!$F$1:$I$2, 2, FALSE)</f>
        <v>1.7999999999999999E-2</v>
      </c>
      <c r="M5" t="str">
        <f t="shared" si="0"/>
        <v>Regular</v>
      </c>
      <c r="N5" s="5">
        <f t="shared" si="1"/>
        <v>46051</v>
      </c>
    </row>
    <row r="6" spans="1:14" x14ac:dyDescent="0.3">
      <c r="A6" t="s">
        <v>16</v>
      </c>
      <c r="B6">
        <v>343</v>
      </c>
      <c r="C6">
        <v>16</v>
      </c>
      <c r="D6" s="1">
        <v>46052.57708333333</v>
      </c>
      <c r="E6">
        <v>99</v>
      </c>
      <c r="F6" t="s">
        <v>12</v>
      </c>
      <c r="G6" t="s">
        <v>10</v>
      </c>
      <c r="H6">
        <v>34</v>
      </c>
      <c r="I6" t="str">
        <f>IFERROR(VLOOKUP(C6, merchants!$A$2:$D$41, 2, FALSE), "Merchant not found")</f>
        <v>Merchant_016</v>
      </c>
      <c r="J6" t="str">
        <f>IFERROR(VLOOKUP(C6, merchants!$A$2:$D$41, 3, FALSE), "Merchant not found")</f>
        <v>bill_payment</v>
      </c>
      <c r="K6" t="str">
        <f>IFERROR(VLOOKUP(C6, merchants!$A$2:$D$41, 4, FALSE), "Merchant not found")</f>
        <v>West</v>
      </c>
      <c r="L6" s="2">
        <f>HLOOKUP(F6, merchants!$F$1:$I$2, 2, FALSE)</f>
        <v>0</v>
      </c>
      <c r="M6" t="str">
        <f t="shared" si="0"/>
        <v>Regular</v>
      </c>
      <c r="N6" s="5">
        <f t="shared" si="1"/>
        <v>46052</v>
      </c>
    </row>
    <row r="7" spans="1:14" x14ac:dyDescent="0.3">
      <c r="A7" t="s">
        <v>17</v>
      </c>
      <c r="B7">
        <v>196</v>
      </c>
      <c r="C7">
        <v>3</v>
      </c>
      <c r="D7" s="1">
        <v>46028.92083333333</v>
      </c>
      <c r="E7">
        <v>99</v>
      </c>
      <c r="F7" t="s">
        <v>12</v>
      </c>
      <c r="G7" t="s">
        <v>10</v>
      </c>
      <c r="H7">
        <v>60</v>
      </c>
      <c r="I7" t="str">
        <f>IFERROR(VLOOKUP(C7, merchants!$A$2:$D$41, 2, FALSE), "Merchant not found")</f>
        <v>Merchant_003</v>
      </c>
      <c r="J7" t="str">
        <f>IFERROR(VLOOKUP(C7, merchants!$A$2:$D$41, 3, FALSE), "Merchant not found")</f>
        <v>grocery</v>
      </c>
      <c r="K7" t="str">
        <f>IFERROR(VLOOKUP(C7, merchants!$A$2:$D$41, 4, FALSE), "Merchant not found")</f>
        <v>East</v>
      </c>
      <c r="L7" s="2">
        <f>HLOOKUP(F7, merchants!$F$1:$I$2, 2, FALSE)</f>
        <v>0</v>
      </c>
      <c r="M7" t="str">
        <f t="shared" si="0"/>
        <v>Regular</v>
      </c>
      <c r="N7" s="5">
        <f t="shared" si="1"/>
        <v>46028</v>
      </c>
    </row>
    <row r="8" spans="1:14" x14ac:dyDescent="0.3">
      <c r="A8" t="s">
        <v>18</v>
      </c>
      <c r="B8">
        <v>236</v>
      </c>
      <c r="C8">
        <v>23</v>
      </c>
      <c r="D8" s="1">
        <v>46030.286111111112</v>
      </c>
      <c r="E8">
        <v>99</v>
      </c>
      <c r="F8" t="s">
        <v>9</v>
      </c>
      <c r="G8" t="s">
        <v>10</v>
      </c>
      <c r="H8">
        <v>39</v>
      </c>
      <c r="I8" t="str">
        <f>IFERROR(VLOOKUP(C8, merchants!$A$2:$D$41, 2, FALSE), "Merchant not found")</f>
        <v>Merchant_023</v>
      </c>
      <c r="J8" t="str">
        <f>IFERROR(VLOOKUP(C8, merchants!$A$2:$D$41, 3, FALSE), "Merchant not found")</f>
        <v>travel</v>
      </c>
      <c r="K8" t="str">
        <f>IFERROR(VLOOKUP(C8, merchants!$A$2:$D$41, 4, FALSE), "Merchant not found")</f>
        <v>North</v>
      </c>
      <c r="L8" s="2">
        <f>HLOOKUP(F8, merchants!$F$1:$I$2, 2, FALSE)</f>
        <v>1.4999999999999999E-2</v>
      </c>
      <c r="M8" t="str">
        <f t="shared" si="0"/>
        <v>Regular</v>
      </c>
      <c r="N8" s="5">
        <f t="shared" si="1"/>
        <v>46030</v>
      </c>
    </row>
    <row r="9" spans="1:14" x14ac:dyDescent="0.3">
      <c r="A9" t="s">
        <v>19</v>
      </c>
      <c r="B9">
        <v>13</v>
      </c>
      <c r="C9">
        <v>13</v>
      </c>
      <c r="D9" s="1">
        <v>46049.301388888889</v>
      </c>
      <c r="E9">
        <v>99</v>
      </c>
      <c r="F9" t="s">
        <v>12</v>
      </c>
      <c r="G9" t="s">
        <v>10</v>
      </c>
      <c r="H9">
        <v>51</v>
      </c>
      <c r="I9" t="str">
        <f>IFERROR(VLOOKUP(C9, merchants!$A$2:$D$41, 2, FALSE), "Merchant not found")</f>
        <v>Merchant_013</v>
      </c>
      <c r="J9" t="str">
        <f>IFERROR(VLOOKUP(C9, merchants!$A$2:$D$41, 3, FALSE), "Merchant not found")</f>
        <v>travel</v>
      </c>
      <c r="K9" t="str">
        <f>IFERROR(VLOOKUP(C9, merchants!$A$2:$D$41, 4, FALSE), "Merchant not found")</f>
        <v>East</v>
      </c>
      <c r="L9" s="2">
        <f>HLOOKUP(F9, merchants!$F$1:$I$2, 2, FALSE)</f>
        <v>0</v>
      </c>
      <c r="M9" t="str">
        <f t="shared" si="0"/>
        <v>Regular</v>
      </c>
      <c r="N9" s="5">
        <f t="shared" si="1"/>
        <v>46049</v>
      </c>
    </row>
    <row r="10" spans="1:14" x14ac:dyDescent="0.3">
      <c r="A10" t="s">
        <v>20</v>
      </c>
      <c r="B10">
        <v>36</v>
      </c>
      <c r="C10">
        <v>18</v>
      </c>
      <c r="D10" s="1">
        <v>46033.371527777781</v>
      </c>
      <c r="E10">
        <v>799</v>
      </c>
      <c r="F10" t="s">
        <v>12</v>
      </c>
      <c r="G10" t="s">
        <v>10</v>
      </c>
      <c r="H10">
        <v>44</v>
      </c>
      <c r="I10" t="str">
        <f>IFERROR(VLOOKUP(C10, merchants!$A$2:$D$41, 2, FALSE), "Merchant not found")</f>
        <v>Merchant_018</v>
      </c>
      <c r="J10" t="str">
        <f>IFERROR(VLOOKUP(C10, merchants!$A$2:$D$41, 3, FALSE), "Merchant not found")</f>
        <v>grocery</v>
      </c>
      <c r="K10" t="str">
        <f>IFERROR(VLOOKUP(C10, merchants!$A$2:$D$41, 4, FALSE), "Merchant not found")</f>
        <v>West</v>
      </c>
      <c r="L10" s="2">
        <f>HLOOKUP(F10, merchants!$F$1:$I$2, 2, FALSE)</f>
        <v>0</v>
      </c>
      <c r="M10" t="str">
        <f t="shared" si="0"/>
        <v>Regular</v>
      </c>
      <c r="N10" s="5">
        <f t="shared" si="1"/>
        <v>46033</v>
      </c>
    </row>
    <row r="11" spans="1:14" x14ac:dyDescent="0.3">
      <c r="A11" t="s">
        <v>21</v>
      </c>
      <c r="B11">
        <v>348</v>
      </c>
      <c r="C11">
        <v>35</v>
      </c>
      <c r="D11" s="1">
        <v>46043.684027777781</v>
      </c>
      <c r="E11">
        <v>299</v>
      </c>
      <c r="F11" t="s">
        <v>12</v>
      </c>
      <c r="G11" t="s">
        <v>10</v>
      </c>
      <c r="H11">
        <v>42</v>
      </c>
      <c r="I11" t="str">
        <f>IFERROR(VLOOKUP(C11, merchants!$A$2:$D$41, 2, FALSE), "Merchant not found")</f>
        <v>Merchant_035</v>
      </c>
      <c r="J11" t="str">
        <f>IFERROR(VLOOKUP(C11, merchants!$A$2:$D$41, 3, FALSE), "Merchant not found")</f>
        <v>recharge</v>
      </c>
      <c r="K11" t="str">
        <f>IFERROR(VLOOKUP(C11, merchants!$A$2:$D$41, 4, FALSE), "Merchant not found")</f>
        <v>East</v>
      </c>
      <c r="L11" s="2">
        <f>HLOOKUP(F11, merchants!$F$1:$I$2, 2, FALSE)</f>
        <v>0</v>
      </c>
      <c r="M11" t="str">
        <f t="shared" si="0"/>
        <v>Regular</v>
      </c>
      <c r="N11" s="5">
        <f t="shared" si="1"/>
        <v>46043</v>
      </c>
    </row>
    <row r="12" spans="1:14" x14ac:dyDescent="0.3">
      <c r="A12" t="s">
        <v>22</v>
      </c>
      <c r="B12">
        <v>134</v>
      </c>
      <c r="C12">
        <v>12</v>
      </c>
      <c r="D12" s="1">
        <v>46023.163888888892</v>
      </c>
      <c r="E12">
        <v>49</v>
      </c>
      <c r="F12" t="s">
        <v>12</v>
      </c>
      <c r="G12" t="s">
        <v>10</v>
      </c>
      <c r="H12">
        <v>74</v>
      </c>
      <c r="I12" t="str">
        <f>IFERROR(VLOOKUP(C12, merchants!$A$2:$D$41, 2, FALSE), "Merchant not found")</f>
        <v>Merchant_012</v>
      </c>
      <c r="J12" t="str">
        <f>IFERROR(VLOOKUP(C12, merchants!$A$2:$D$41, 3, FALSE), "Merchant not found")</f>
        <v>ecommerce</v>
      </c>
      <c r="K12" t="str">
        <f>IFERROR(VLOOKUP(C12, merchants!$A$2:$D$41, 4, FALSE), "Merchant not found")</f>
        <v>East</v>
      </c>
      <c r="L12" s="2">
        <f>HLOOKUP(F12, merchants!$F$1:$I$2, 2, FALSE)</f>
        <v>0</v>
      </c>
      <c r="M12" t="str">
        <f t="shared" si="0"/>
        <v>Regular</v>
      </c>
      <c r="N12" s="5">
        <f t="shared" si="1"/>
        <v>46023</v>
      </c>
    </row>
    <row r="13" spans="1:14" x14ac:dyDescent="0.3">
      <c r="A13" t="s">
        <v>23</v>
      </c>
      <c r="B13">
        <v>306</v>
      </c>
      <c r="C13">
        <v>28</v>
      </c>
      <c r="D13" s="1">
        <v>46031.04583333333</v>
      </c>
      <c r="E13">
        <v>2999</v>
      </c>
      <c r="F13" t="s">
        <v>24</v>
      </c>
      <c r="G13" t="s">
        <v>25</v>
      </c>
      <c r="H13">
        <v>44</v>
      </c>
      <c r="I13" t="str">
        <f>IFERROR(VLOOKUP(C13, merchants!$A$2:$D$41, 2, FALSE), "Merchant not found")</f>
        <v>Merchant_028</v>
      </c>
      <c r="J13" t="str">
        <f>IFERROR(VLOOKUP(C13, merchants!$A$2:$D$41, 3, FALSE), "Merchant not found")</f>
        <v>ecommerce</v>
      </c>
      <c r="K13" t="str">
        <f>IFERROR(VLOOKUP(C13, merchants!$A$2:$D$41, 4, FALSE), "Merchant not found")</f>
        <v>South</v>
      </c>
      <c r="L13" s="2">
        <f>HLOOKUP(F13, merchants!$F$1:$I$2, 2, FALSE)</f>
        <v>0.02</v>
      </c>
      <c r="M13" t="str">
        <f t="shared" si="0"/>
        <v>Regular</v>
      </c>
      <c r="N13" s="5">
        <f t="shared" si="1"/>
        <v>46031</v>
      </c>
    </row>
    <row r="14" spans="1:14" x14ac:dyDescent="0.3">
      <c r="A14" t="s">
        <v>26</v>
      </c>
      <c r="B14">
        <v>311</v>
      </c>
      <c r="C14">
        <v>33</v>
      </c>
      <c r="D14" s="1">
        <v>46046.435416666667</v>
      </c>
      <c r="E14">
        <v>49</v>
      </c>
      <c r="F14" t="s">
        <v>9</v>
      </c>
      <c r="G14" t="s">
        <v>10</v>
      </c>
      <c r="H14">
        <v>14</v>
      </c>
      <c r="I14" t="str">
        <f>IFERROR(VLOOKUP(C14, merchants!$A$2:$D$41, 2, FALSE), "Merchant not found")</f>
        <v>Merchant_033</v>
      </c>
      <c r="J14" t="str">
        <f>IFERROR(VLOOKUP(C14, merchants!$A$2:$D$41, 3, FALSE), "Merchant not found")</f>
        <v>bill_payment</v>
      </c>
      <c r="K14" t="str">
        <f>IFERROR(VLOOKUP(C14, merchants!$A$2:$D$41, 4, FALSE), "Merchant not found")</f>
        <v>East</v>
      </c>
      <c r="L14" s="2">
        <f>HLOOKUP(F14, merchants!$F$1:$I$2, 2, FALSE)</f>
        <v>1.4999999999999999E-2</v>
      </c>
      <c r="M14" t="str">
        <f t="shared" si="0"/>
        <v>Regular</v>
      </c>
      <c r="N14" s="5">
        <f t="shared" si="1"/>
        <v>46046</v>
      </c>
    </row>
    <row r="15" spans="1:14" x14ac:dyDescent="0.3">
      <c r="A15" t="s">
        <v>27</v>
      </c>
      <c r="B15">
        <v>131</v>
      </c>
      <c r="C15">
        <v>3</v>
      </c>
      <c r="D15" s="1">
        <v>46035.758333333331</v>
      </c>
      <c r="E15">
        <v>49</v>
      </c>
      <c r="F15" t="s">
        <v>12</v>
      </c>
      <c r="G15" t="s">
        <v>10</v>
      </c>
      <c r="H15">
        <v>90</v>
      </c>
      <c r="I15" t="str">
        <f>IFERROR(VLOOKUP(C15, merchants!$A$2:$D$41, 2, FALSE), "Merchant not found")</f>
        <v>Merchant_003</v>
      </c>
      <c r="J15" t="str">
        <f>IFERROR(VLOOKUP(C15, merchants!$A$2:$D$41, 3, FALSE), "Merchant not found")</f>
        <v>grocery</v>
      </c>
      <c r="K15" t="str">
        <f>IFERROR(VLOOKUP(C15, merchants!$A$2:$D$41, 4, FALSE), "Merchant not found")</f>
        <v>East</v>
      </c>
      <c r="L15" s="2">
        <f>HLOOKUP(F15, merchants!$F$1:$I$2, 2, FALSE)</f>
        <v>0</v>
      </c>
      <c r="M15" t="str">
        <f t="shared" si="0"/>
        <v>Regular</v>
      </c>
      <c r="N15" s="5">
        <f t="shared" si="1"/>
        <v>46035</v>
      </c>
    </row>
    <row r="16" spans="1:14" x14ac:dyDescent="0.3">
      <c r="A16" t="s">
        <v>28</v>
      </c>
      <c r="B16">
        <v>276</v>
      </c>
      <c r="C16">
        <v>13</v>
      </c>
      <c r="D16" s="1">
        <v>46036.022916666669</v>
      </c>
      <c r="E16">
        <v>1499</v>
      </c>
      <c r="F16" t="s">
        <v>12</v>
      </c>
      <c r="G16" t="s">
        <v>10</v>
      </c>
      <c r="H16">
        <v>46</v>
      </c>
      <c r="I16" t="str">
        <f>IFERROR(VLOOKUP(C16, merchants!$A$2:$D$41, 2, FALSE), "Merchant not found")</f>
        <v>Merchant_013</v>
      </c>
      <c r="J16" t="str">
        <f>IFERROR(VLOOKUP(C16, merchants!$A$2:$D$41, 3, FALSE), "Merchant not found")</f>
        <v>travel</v>
      </c>
      <c r="K16" t="str">
        <f>IFERROR(VLOOKUP(C16, merchants!$A$2:$D$41, 4, FALSE), "Merchant not found")</f>
        <v>East</v>
      </c>
      <c r="L16" s="2">
        <f>HLOOKUP(F16, merchants!$F$1:$I$2, 2, FALSE)</f>
        <v>0</v>
      </c>
      <c r="M16" t="str">
        <f t="shared" si="0"/>
        <v>Regular</v>
      </c>
      <c r="N16" s="5">
        <f t="shared" si="1"/>
        <v>46036</v>
      </c>
    </row>
    <row r="17" spans="1:14" x14ac:dyDescent="0.3">
      <c r="A17" t="s">
        <v>29</v>
      </c>
      <c r="B17">
        <v>170</v>
      </c>
      <c r="C17">
        <v>40</v>
      </c>
      <c r="D17" s="1">
        <v>46036.112500000003</v>
      </c>
      <c r="E17">
        <v>99</v>
      </c>
      <c r="F17" t="s">
        <v>12</v>
      </c>
      <c r="G17" t="s">
        <v>10</v>
      </c>
      <c r="H17">
        <v>40</v>
      </c>
      <c r="I17" t="str">
        <f>IFERROR(VLOOKUP(C17, merchants!$A$2:$D$41, 2, FALSE), "Merchant not found")</f>
        <v>Merchant_040</v>
      </c>
      <c r="J17" t="str">
        <f>IFERROR(VLOOKUP(C17, merchants!$A$2:$D$41, 3, FALSE), "Merchant not found")</f>
        <v>entertainment</v>
      </c>
      <c r="K17" t="str">
        <f>IFERROR(VLOOKUP(C17, merchants!$A$2:$D$41, 4, FALSE), "Merchant not found")</f>
        <v>South</v>
      </c>
      <c r="L17" s="2">
        <f>HLOOKUP(F17, merchants!$F$1:$I$2, 2, FALSE)</f>
        <v>0</v>
      </c>
      <c r="M17" t="str">
        <f t="shared" si="0"/>
        <v>Regular</v>
      </c>
      <c r="N17" s="5">
        <f t="shared" si="1"/>
        <v>46036</v>
      </c>
    </row>
    <row r="18" spans="1:14" x14ac:dyDescent="0.3">
      <c r="A18" t="s">
        <v>30</v>
      </c>
      <c r="B18">
        <v>154</v>
      </c>
      <c r="C18">
        <v>33</v>
      </c>
      <c r="D18" s="1">
        <v>46044.156944444447</v>
      </c>
      <c r="E18">
        <v>99</v>
      </c>
      <c r="F18" t="s">
        <v>15</v>
      </c>
      <c r="G18" t="s">
        <v>10</v>
      </c>
      <c r="H18">
        <v>39</v>
      </c>
      <c r="I18" t="str">
        <f>IFERROR(VLOOKUP(C18, merchants!$A$2:$D$41, 2, FALSE), "Merchant not found")</f>
        <v>Merchant_033</v>
      </c>
      <c r="J18" t="str">
        <f>IFERROR(VLOOKUP(C18, merchants!$A$2:$D$41, 3, FALSE), "Merchant not found")</f>
        <v>bill_payment</v>
      </c>
      <c r="K18" t="str">
        <f>IFERROR(VLOOKUP(C18, merchants!$A$2:$D$41, 4, FALSE), "Merchant not found")</f>
        <v>East</v>
      </c>
      <c r="L18" s="2">
        <f>HLOOKUP(F18, merchants!$F$1:$I$2, 2, FALSE)</f>
        <v>1.7999999999999999E-2</v>
      </c>
      <c r="M18" t="str">
        <f t="shared" si="0"/>
        <v>Regular</v>
      </c>
      <c r="N18" s="5">
        <f t="shared" si="1"/>
        <v>46044</v>
      </c>
    </row>
    <row r="19" spans="1:14" x14ac:dyDescent="0.3">
      <c r="A19" t="s">
        <v>31</v>
      </c>
      <c r="B19">
        <v>207</v>
      </c>
      <c r="C19">
        <v>19</v>
      </c>
      <c r="D19" s="1">
        <v>46044.555555555555</v>
      </c>
      <c r="E19">
        <v>2999</v>
      </c>
      <c r="F19" t="s">
        <v>24</v>
      </c>
      <c r="G19" t="s">
        <v>10</v>
      </c>
      <c r="H19">
        <v>70</v>
      </c>
      <c r="I19" t="str">
        <f>IFERROR(VLOOKUP(C19, merchants!$A$2:$D$41, 2, FALSE), "Merchant not found")</f>
        <v>Merchant_019</v>
      </c>
      <c r="J19" t="str">
        <f>IFERROR(VLOOKUP(C19, merchants!$A$2:$D$41, 3, FALSE), "Merchant not found")</f>
        <v>grocery</v>
      </c>
      <c r="K19" t="str">
        <f>IFERROR(VLOOKUP(C19, merchants!$A$2:$D$41, 4, FALSE), "Merchant not found")</f>
        <v>North</v>
      </c>
      <c r="L19" s="2">
        <f>HLOOKUP(F19, merchants!$F$1:$I$2, 2, FALSE)</f>
        <v>0.02</v>
      </c>
      <c r="M19" t="str">
        <f t="shared" si="0"/>
        <v>Regular</v>
      </c>
      <c r="N19" s="5">
        <f t="shared" si="1"/>
        <v>46044</v>
      </c>
    </row>
    <row r="20" spans="1:14" x14ac:dyDescent="0.3">
      <c r="A20" t="s">
        <v>32</v>
      </c>
      <c r="B20">
        <v>341</v>
      </c>
      <c r="C20">
        <v>25</v>
      </c>
      <c r="D20" s="1">
        <v>46027.268055555556</v>
      </c>
      <c r="E20">
        <v>2999</v>
      </c>
      <c r="F20" t="s">
        <v>12</v>
      </c>
      <c r="G20" t="s">
        <v>10</v>
      </c>
      <c r="H20">
        <v>86</v>
      </c>
      <c r="I20" t="str">
        <f>IFERROR(VLOOKUP(C20, merchants!$A$2:$D$41, 2, FALSE), "Merchant not found")</f>
        <v>Merchant_025</v>
      </c>
      <c r="J20" t="str">
        <f>IFERROR(VLOOKUP(C20, merchants!$A$2:$D$41, 3, FALSE), "Merchant not found")</f>
        <v>travel</v>
      </c>
      <c r="K20" t="str">
        <f>IFERROR(VLOOKUP(C20, merchants!$A$2:$D$41, 4, FALSE), "Merchant not found")</f>
        <v>South</v>
      </c>
      <c r="L20" s="2">
        <f>HLOOKUP(F20, merchants!$F$1:$I$2, 2, FALSE)</f>
        <v>0</v>
      </c>
      <c r="M20" t="str">
        <f t="shared" si="0"/>
        <v>Regular</v>
      </c>
      <c r="N20" s="5">
        <f t="shared" si="1"/>
        <v>46027</v>
      </c>
    </row>
    <row r="21" spans="1:14" x14ac:dyDescent="0.3">
      <c r="A21" t="s">
        <v>33</v>
      </c>
      <c r="B21">
        <v>292</v>
      </c>
      <c r="C21">
        <v>20</v>
      </c>
      <c r="D21" s="1">
        <v>46046.23541666667</v>
      </c>
      <c r="E21">
        <v>49</v>
      </c>
      <c r="F21" t="s">
        <v>12</v>
      </c>
      <c r="G21" t="s">
        <v>10</v>
      </c>
      <c r="H21">
        <v>51</v>
      </c>
      <c r="I21" t="str">
        <f>IFERROR(VLOOKUP(C21, merchants!$A$2:$D$41, 2, FALSE), "Merchant not found")</f>
        <v>Merchant_020</v>
      </c>
      <c r="J21" t="str">
        <f>IFERROR(VLOOKUP(C21, merchants!$A$2:$D$41, 3, FALSE), "Merchant not found")</f>
        <v>food_delivery</v>
      </c>
      <c r="K21" t="str">
        <f>IFERROR(VLOOKUP(C21, merchants!$A$2:$D$41, 4, FALSE), "Merchant not found")</f>
        <v>East</v>
      </c>
      <c r="L21" s="2">
        <f>HLOOKUP(F21, merchants!$F$1:$I$2, 2, FALSE)</f>
        <v>0</v>
      </c>
      <c r="M21" t="str">
        <f t="shared" si="0"/>
        <v>Regular</v>
      </c>
      <c r="N21" s="5">
        <f t="shared" si="1"/>
        <v>46046</v>
      </c>
    </row>
    <row r="22" spans="1:14" x14ac:dyDescent="0.3">
      <c r="A22" t="s">
        <v>34</v>
      </c>
      <c r="B22">
        <v>147</v>
      </c>
      <c r="C22">
        <v>14</v>
      </c>
      <c r="D22" s="1">
        <v>46040.013194444444</v>
      </c>
      <c r="E22">
        <v>99</v>
      </c>
      <c r="F22" t="s">
        <v>24</v>
      </c>
      <c r="G22" t="s">
        <v>10</v>
      </c>
      <c r="H22">
        <v>55</v>
      </c>
      <c r="I22" t="str">
        <f>IFERROR(VLOOKUP(C22, merchants!$A$2:$D$41, 2, FALSE), "Merchant not found")</f>
        <v>Merchant_014</v>
      </c>
      <c r="J22" t="str">
        <f>IFERROR(VLOOKUP(C22, merchants!$A$2:$D$41, 3, FALSE), "Merchant not found")</f>
        <v>grocery</v>
      </c>
      <c r="K22" t="str">
        <f>IFERROR(VLOOKUP(C22, merchants!$A$2:$D$41, 4, FALSE), "Merchant not found")</f>
        <v>East</v>
      </c>
      <c r="L22" s="2">
        <f>HLOOKUP(F22, merchants!$F$1:$I$2, 2, FALSE)</f>
        <v>0.02</v>
      </c>
      <c r="M22" t="str">
        <f t="shared" si="0"/>
        <v>Regular</v>
      </c>
      <c r="N22" s="5">
        <f t="shared" si="1"/>
        <v>46040</v>
      </c>
    </row>
    <row r="23" spans="1:14" x14ac:dyDescent="0.3">
      <c r="A23" t="s">
        <v>35</v>
      </c>
      <c r="B23">
        <v>336</v>
      </c>
      <c r="C23">
        <v>21</v>
      </c>
      <c r="D23" s="1">
        <v>46048.776388888888</v>
      </c>
      <c r="E23">
        <v>99</v>
      </c>
      <c r="F23" t="s">
        <v>12</v>
      </c>
      <c r="G23" t="s">
        <v>10</v>
      </c>
      <c r="H23">
        <v>59</v>
      </c>
      <c r="I23" t="str">
        <f>IFERROR(VLOOKUP(C23, merchants!$A$2:$D$41, 2, FALSE), "Merchant not found")</f>
        <v>Merchant_021</v>
      </c>
      <c r="J23" t="str">
        <f>IFERROR(VLOOKUP(C23, merchants!$A$2:$D$41, 3, FALSE), "Merchant not found")</f>
        <v>food_delivery</v>
      </c>
      <c r="K23" t="str">
        <f>IFERROR(VLOOKUP(C23, merchants!$A$2:$D$41, 4, FALSE), "Merchant not found")</f>
        <v>East</v>
      </c>
      <c r="L23" s="2">
        <f>HLOOKUP(F23, merchants!$F$1:$I$2, 2, FALSE)</f>
        <v>0</v>
      </c>
      <c r="M23" t="str">
        <f t="shared" si="0"/>
        <v>Regular</v>
      </c>
      <c r="N23" s="5">
        <f t="shared" si="1"/>
        <v>46048</v>
      </c>
    </row>
    <row r="24" spans="1:14" x14ac:dyDescent="0.3">
      <c r="A24" t="s">
        <v>36</v>
      </c>
      <c r="B24">
        <v>110</v>
      </c>
      <c r="C24">
        <v>33</v>
      </c>
      <c r="D24" s="1">
        <v>46037.613194444442</v>
      </c>
      <c r="E24">
        <v>799</v>
      </c>
      <c r="F24" t="s">
        <v>12</v>
      </c>
      <c r="G24" t="s">
        <v>10</v>
      </c>
      <c r="H24">
        <v>60</v>
      </c>
      <c r="I24" t="str">
        <f>IFERROR(VLOOKUP(C24, merchants!$A$2:$D$41, 2, FALSE), "Merchant not found")</f>
        <v>Merchant_033</v>
      </c>
      <c r="J24" t="str">
        <f>IFERROR(VLOOKUP(C24, merchants!$A$2:$D$41, 3, FALSE), "Merchant not found")</f>
        <v>bill_payment</v>
      </c>
      <c r="K24" t="str">
        <f>IFERROR(VLOOKUP(C24, merchants!$A$2:$D$41, 4, FALSE), "Merchant not found")</f>
        <v>East</v>
      </c>
      <c r="L24" s="2">
        <f>HLOOKUP(F24, merchants!$F$1:$I$2, 2, FALSE)</f>
        <v>0</v>
      </c>
      <c r="M24" t="str">
        <f t="shared" si="0"/>
        <v>Regular</v>
      </c>
      <c r="N24" s="5">
        <f t="shared" si="1"/>
        <v>46037</v>
      </c>
    </row>
    <row r="25" spans="1:14" x14ac:dyDescent="0.3">
      <c r="A25" t="s">
        <v>37</v>
      </c>
      <c r="B25">
        <v>338</v>
      </c>
      <c r="C25">
        <v>6</v>
      </c>
      <c r="D25" s="1">
        <v>46048.965277777781</v>
      </c>
      <c r="E25">
        <v>799</v>
      </c>
      <c r="F25" t="s">
        <v>12</v>
      </c>
      <c r="G25" t="s">
        <v>38</v>
      </c>
      <c r="H25">
        <v>36</v>
      </c>
      <c r="I25" t="str">
        <f>IFERROR(VLOOKUP(C25, merchants!$A$2:$D$41, 2, FALSE), "Merchant not found")</f>
        <v>Merchant_006</v>
      </c>
      <c r="J25" t="str">
        <f>IFERROR(VLOOKUP(C25, merchants!$A$2:$D$41, 3, FALSE), "Merchant not found")</f>
        <v>food_delivery</v>
      </c>
      <c r="K25" t="str">
        <f>IFERROR(VLOOKUP(C25, merchants!$A$2:$D$41, 4, FALSE), "Merchant not found")</f>
        <v>South</v>
      </c>
      <c r="L25" s="2">
        <f>HLOOKUP(F25, merchants!$F$1:$I$2, 2, FALSE)</f>
        <v>0</v>
      </c>
      <c r="M25" t="str">
        <f t="shared" si="0"/>
        <v>Regular</v>
      </c>
      <c r="N25" s="5">
        <f t="shared" si="1"/>
        <v>46048</v>
      </c>
    </row>
    <row r="26" spans="1:14" x14ac:dyDescent="0.3">
      <c r="A26" t="s">
        <v>39</v>
      </c>
      <c r="B26">
        <v>318</v>
      </c>
      <c r="C26">
        <v>22</v>
      </c>
      <c r="D26" s="1">
        <v>46039.902777777781</v>
      </c>
      <c r="E26">
        <v>799</v>
      </c>
      <c r="F26" t="s">
        <v>9</v>
      </c>
      <c r="G26" t="s">
        <v>10</v>
      </c>
      <c r="H26">
        <v>11</v>
      </c>
      <c r="I26" t="str">
        <f>IFERROR(VLOOKUP(C26, merchants!$A$2:$D$41, 2, FALSE), "Merchant not found")</f>
        <v>Merchant_022</v>
      </c>
      <c r="J26" t="str">
        <f>IFERROR(VLOOKUP(C26, merchants!$A$2:$D$41, 3, FALSE), "Merchant not found")</f>
        <v>travel</v>
      </c>
      <c r="K26" t="str">
        <f>IFERROR(VLOOKUP(C26, merchants!$A$2:$D$41, 4, FALSE), "Merchant not found")</f>
        <v>South</v>
      </c>
      <c r="L26" s="2">
        <f>HLOOKUP(F26, merchants!$F$1:$I$2, 2, FALSE)</f>
        <v>1.4999999999999999E-2</v>
      </c>
      <c r="M26" t="str">
        <f t="shared" si="0"/>
        <v>Regular</v>
      </c>
      <c r="N26" s="5">
        <f t="shared" si="1"/>
        <v>46039</v>
      </c>
    </row>
    <row r="27" spans="1:14" x14ac:dyDescent="0.3">
      <c r="A27" t="s">
        <v>40</v>
      </c>
      <c r="B27">
        <v>159</v>
      </c>
      <c r="C27">
        <v>15</v>
      </c>
      <c r="D27" s="1">
        <v>46049.321527777778</v>
      </c>
      <c r="E27">
        <v>799</v>
      </c>
      <c r="F27" t="s">
        <v>12</v>
      </c>
      <c r="G27" t="s">
        <v>10</v>
      </c>
      <c r="H27">
        <v>25</v>
      </c>
      <c r="I27" t="str">
        <f>IFERROR(VLOOKUP(C27, merchants!$A$2:$D$41, 2, FALSE), "Merchant not found")</f>
        <v>Merchant_015</v>
      </c>
      <c r="J27" t="str">
        <f>IFERROR(VLOOKUP(C27, merchants!$A$2:$D$41, 3, FALSE), "Merchant not found")</f>
        <v>travel</v>
      </c>
      <c r="K27" t="str">
        <f>IFERROR(VLOOKUP(C27, merchants!$A$2:$D$41, 4, FALSE), "Merchant not found")</f>
        <v>North</v>
      </c>
      <c r="L27" s="2">
        <f>HLOOKUP(F27, merchants!$F$1:$I$2, 2, FALSE)</f>
        <v>0</v>
      </c>
      <c r="M27" t="str">
        <f t="shared" si="0"/>
        <v>Regular</v>
      </c>
      <c r="N27" s="5">
        <f t="shared" si="1"/>
        <v>46049</v>
      </c>
    </row>
    <row r="28" spans="1:14" x14ac:dyDescent="0.3">
      <c r="A28" t="s">
        <v>41</v>
      </c>
      <c r="B28">
        <v>126</v>
      </c>
      <c r="C28">
        <v>31</v>
      </c>
      <c r="D28" s="1">
        <v>46027.001388888886</v>
      </c>
      <c r="E28">
        <v>49</v>
      </c>
      <c r="F28" t="s">
        <v>24</v>
      </c>
      <c r="G28" t="s">
        <v>10</v>
      </c>
      <c r="H28">
        <v>78</v>
      </c>
      <c r="I28" t="str">
        <f>IFERROR(VLOOKUP(C28, merchants!$A$2:$D$41, 2, FALSE), "Merchant not found")</f>
        <v>Merchant_031</v>
      </c>
      <c r="J28" t="str">
        <f>IFERROR(VLOOKUP(C28, merchants!$A$2:$D$41, 3, FALSE), "Merchant not found")</f>
        <v>bill_payment</v>
      </c>
      <c r="K28" t="str">
        <f>IFERROR(VLOOKUP(C28, merchants!$A$2:$D$41, 4, FALSE), "Merchant not found")</f>
        <v>East</v>
      </c>
      <c r="L28" s="2">
        <f>HLOOKUP(F28, merchants!$F$1:$I$2, 2, FALSE)</f>
        <v>0.02</v>
      </c>
      <c r="M28" t="str">
        <f t="shared" si="0"/>
        <v>Regular</v>
      </c>
      <c r="N28" s="5">
        <f t="shared" si="1"/>
        <v>46027</v>
      </c>
    </row>
    <row r="29" spans="1:14" x14ac:dyDescent="0.3">
      <c r="A29" t="s">
        <v>42</v>
      </c>
      <c r="B29">
        <v>213</v>
      </c>
      <c r="C29">
        <v>37</v>
      </c>
      <c r="D29" s="1">
        <v>46050.103472222225</v>
      </c>
      <c r="E29">
        <v>99</v>
      </c>
      <c r="F29" t="s">
        <v>12</v>
      </c>
      <c r="G29" t="s">
        <v>10</v>
      </c>
      <c r="H29">
        <v>24</v>
      </c>
      <c r="I29" t="str">
        <f>IFERROR(VLOOKUP(C29, merchants!$A$2:$D$41, 2, FALSE), "Merchant not found")</f>
        <v>Merchant_037</v>
      </c>
      <c r="J29" t="str">
        <f>IFERROR(VLOOKUP(C29, merchants!$A$2:$D$41, 3, FALSE), "Merchant not found")</f>
        <v>entertainment</v>
      </c>
      <c r="K29" t="str">
        <f>IFERROR(VLOOKUP(C29, merchants!$A$2:$D$41, 4, FALSE), "Merchant not found")</f>
        <v>South</v>
      </c>
      <c r="L29" s="2">
        <f>HLOOKUP(F29, merchants!$F$1:$I$2, 2, FALSE)</f>
        <v>0</v>
      </c>
      <c r="M29" t="str">
        <f t="shared" si="0"/>
        <v>Regular</v>
      </c>
      <c r="N29" s="5">
        <f t="shared" si="1"/>
        <v>46050</v>
      </c>
    </row>
    <row r="30" spans="1:14" x14ac:dyDescent="0.3">
      <c r="A30" t="s">
        <v>43</v>
      </c>
      <c r="B30">
        <v>254</v>
      </c>
      <c r="C30">
        <v>26</v>
      </c>
      <c r="D30" s="1">
        <v>46045.933333333334</v>
      </c>
      <c r="E30">
        <v>99</v>
      </c>
      <c r="F30" t="s">
        <v>9</v>
      </c>
      <c r="G30" t="s">
        <v>10</v>
      </c>
      <c r="H30">
        <v>31</v>
      </c>
      <c r="I30" t="str">
        <f>IFERROR(VLOOKUP(C30, merchants!$A$2:$D$41, 2, FALSE), "Merchant not found")</f>
        <v>Merchant_026</v>
      </c>
      <c r="J30" t="str">
        <f>IFERROR(VLOOKUP(C30, merchants!$A$2:$D$41, 3, FALSE), "Merchant not found")</f>
        <v>food_delivery</v>
      </c>
      <c r="K30" t="str">
        <f>IFERROR(VLOOKUP(C30, merchants!$A$2:$D$41, 4, FALSE), "Merchant not found")</f>
        <v>East</v>
      </c>
      <c r="L30" s="2">
        <f>HLOOKUP(F30, merchants!$F$1:$I$2, 2, FALSE)</f>
        <v>1.4999999999999999E-2</v>
      </c>
      <c r="M30" t="str">
        <f t="shared" si="0"/>
        <v>Regular</v>
      </c>
      <c r="N30" s="5">
        <f t="shared" si="1"/>
        <v>46045</v>
      </c>
    </row>
    <row r="31" spans="1:14" x14ac:dyDescent="0.3">
      <c r="A31" t="s">
        <v>44</v>
      </c>
      <c r="B31">
        <v>3</v>
      </c>
      <c r="C31">
        <v>7</v>
      </c>
      <c r="D31" s="1">
        <v>46027.863888888889</v>
      </c>
      <c r="E31">
        <v>1499</v>
      </c>
      <c r="F31" t="s">
        <v>12</v>
      </c>
      <c r="G31" t="s">
        <v>10</v>
      </c>
      <c r="H31">
        <v>99</v>
      </c>
      <c r="I31" t="str">
        <f>IFERROR(VLOOKUP(C31, merchants!$A$2:$D$41, 2, FALSE), "Merchant not found")</f>
        <v>Merchant_007</v>
      </c>
      <c r="J31" t="str">
        <f>IFERROR(VLOOKUP(C31, merchants!$A$2:$D$41, 3, FALSE), "Merchant not found")</f>
        <v>food_delivery</v>
      </c>
      <c r="K31" t="str">
        <f>IFERROR(VLOOKUP(C31, merchants!$A$2:$D$41, 4, FALSE), "Merchant not found")</f>
        <v>East</v>
      </c>
      <c r="L31" s="2">
        <f>HLOOKUP(F31, merchants!$F$1:$I$2, 2, FALSE)</f>
        <v>0</v>
      </c>
      <c r="M31" t="str">
        <f t="shared" si="0"/>
        <v>Regular</v>
      </c>
      <c r="N31" s="5">
        <f t="shared" si="1"/>
        <v>46027</v>
      </c>
    </row>
    <row r="32" spans="1:14" x14ac:dyDescent="0.3">
      <c r="A32" t="s">
        <v>45</v>
      </c>
      <c r="B32">
        <v>266</v>
      </c>
      <c r="C32">
        <v>30</v>
      </c>
      <c r="D32" s="1">
        <v>46036.299305555556</v>
      </c>
      <c r="E32">
        <v>499</v>
      </c>
      <c r="F32" t="s">
        <v>24</v>
      </c>
      <c r="G32" t="s">
        <v>10</v>
      </c>
      <c r="H32">
        <v>6</v>
      </c>
      <c r="I32" t="str">
        <f>IFERROR(VLOOKUP(C32, merchants!$A$2:$D$41, 2, FALSE), "Merchant not found")</f>
        <v>Merchant_030</v>
      </c>
      <c r="J32" t="str">
        <f>IFERROR(VLOOKUP(C32, merchants!$A$2:$D$41, 3, FALSE), "Merchant not found")</f>
        <v>travel</v>
      </c>
      <c r="K32" t="str">
        <f>IFERROR(VLOOKUP(C32, merchants!$A$2:$D$41, 4, FALSE), "Merchant not found")</f>
        <v>West</v>
      </c>
      <c r="L32" s="2">
        <f>HLOOKUP(F32, merchants!$F$1:$I$2, 2, FALSE)</f>
        <v>0.02</v>
      </c>
      <c r="M32" t="str">
        <f t="shared" si="0"/>
        <v>Regular</v>
      </c>
      <c r="N32" s="5">
        <f t="shared" si="1"/>
        <v>46036</v>
      </c>
    </row>
    <row r="33" spans="1:14" x14ac:dyDescent="0.3">
      <c r="A33" t="s">
        <v>46</v>
      </c>
      <c r="B33">
        <v>63</v>
      </c>
      <c r="C33">
        <v>30</v>
      </c>
      <c r="D33" s="1">
        <v>46040.331944444442</v>
      </c>
      <c r="E33">
        <v>799</v>
      </c>
      <c r="F33" t="s">
        <v>12</v>
      </c>
      <c r="G33" t="s">
        <v>10</v>
      </c>
      <c r="H33">
        <v>17</v>
      </c>
      <c r="I33" t="str">
        <f>IFERROR(VLOOKUP(C33, merchants!$A$2:$D$41, 2, FALSE), "Merchant not found")</f>
        <v>Merchant_030</v>
      </c>
      <c r="J33" t="str">
        <f>IFERROR(VLOOKUP(C33, merchants!$A$2:$D$41, 3, FALSE), "Merchant not found")</f>
        <v>travel</v>
      </c>
      <c r="K33" t="str">
        <f>IFERROR(VLOOKUP(C33, merchants!$A$2:$D$41, 4, FALSE), "Merchant not found")</f>
        <v>West</v>
      </c>
      <c r="L33" s="2">
        <f>HLOOKUP(F33, merchants!$F$1:$I$2, 2, FALSE)</f>
        <v>0</v>
      </c>
      <c r="M33" t="str">
        <f t="shared" si="0"/>
        <v>Regular</v>
      </c>
      <c r="N33" s="5">
        <f t="shared" si="1"/>
        <v>46040</v>
      </c>
    </row>
    <row r="34" spans="1:14" x14ac:dyDescent="0.3">
      <c r="A34" t="s">
        <v>47</v>
      </c>
      <c r="B34">
        <v>272</v>
      </c>
      <c r="C34">
        <v>36</v>
      </c>
      <c r="D34" s="1">
        <v>46048.612500000003</v>
      </c>
      <c r="E34">
        <v>149</v>
      </c>
      <c r="F34" t="s">
        <v>12</v>
      </c>
      <c r="G34" t="s">
        <v>10</v>
      </c>
      <c r="H34">
        <v>76</v>
      </c>
      <c r="I34" t="str">
        <f>IFERROR(VLOOKUP(C34, merchants!$A$2:$D$41, 2, FALSE), "Merchant not found")</f>
        <v>Merchant_036</v>
      </c>
      <c r="J34" t="str">
        <f>IFERROR(VLOOKUP(C34, merchants!$A$2:$D$41, 3, FALSE), "Merchant not found")</f>
        <v>entertainment</v>
      </c>
      <c r="K34" t="str">
        <f>IFERROR(VLOOKUP(C34, merchants!$A$2:$D$41, 4, FALSE), "Merchant not found")</f>
        <v>East</v>
      </c>
      <c r="L34" s="2">
        <f>HLOOKUP(F34, merchants!$F$1:$I$2, 2, FALSE)</f>
        <v>0</v>
      </c>
      <c r="M34" t="str">
        <f t="shared" si="0"/>
        <v>Regular</v>
      </c>
      <c r="N34" s="5">
        <f t="shared" si="1"/>
        <v>46048</v>
      </c>
    </row>
    <row r="35" spans="1:14" x14ac:dyDescent="0.3">
      <c r="A35" t="s">
        <v>48</v>
      </c>
      <c r="B35">
        <v>259</v>
      </c>
      <c r="C35">
        <v>28</v>
      </c>
      <c r="D35" s="1">
        <v>46033.61041666667</v>
      </c>
      <c r="E35">
        <v>49</v>
      </c>
      <c r="F35" t="s">
        <v>9</v>
      </c>
      <c r="G35" t="s">
        <v>10</v>
      </c>
      <c r="H35">
        <v>70</v>
      </c>
      <c r="I35" t="str">
        <f>IFERROR(VLOOKUP(C35, merchants!$A$2:$D$41, 2, FALSE), "Merchant not found")</f>
        <v>Merchant_028</v>
      </c>
      <c r="J35" t="str">
        <f>IFERROR(VLOOKUP(C35, merchants!$A$2:$D$41, 3, FALSE), "Merchant not found")</f>
        <v>ecommerce</v>
      </c>
      <c r="K35" t="str">
        <f>IFERROR(VLOOKUP(C35, merchants!$A$2:$D$41, 4, FALSE), "Merchant not found")</f>
        <v>South</v>
      </c>
      <c r="L35" s="2">
        <f>HLOOKUP(F35, merchants!$F$1:$I$2, 2, FALSE)</f>
        <v>1.4999999999999999E-2</v>
      </c>
      <c r="M35" t="str">
        <f t="shared" si="0"/>
        <v>Regular</v>
      </c>
      <c r="N35" s="5">
        <f t="shared" si="1"/>
        <v>46033</v>
      </c>
    </row>
    <row r="36" spans="1:14" x14ac:dyDescent="0.3">
      <c r="A36" t="s">
        <v>49</v>
      </c>
      <c r="B36">
        <v>244</v>
      </c>
      <c r="C36">
        <v>29</v>
      </c>
      <c r="D36" s="1">
        <v>46037.240972222222</v>
      </c>
      <c r="E36">
        <v>299</v>
      </c>
      <c r="F36" t="s">
        <v>15</v>
      </c>
      <c r="G36" t="s">
        <v>10</v>
      </c>
      <c r="H36">
        <v>33</v>
      </c>
      <c r="I36" t="str">
        <f>IFERROR(VLOOKUP(C36, merchants!$A$2:$D$41, 2, FALSE), "Merchant not found")</f>
        <v>Merchant_029</v>
      </c>
      <c r="J36" t="str">
        <f>IFERROR(VLOOKUP(C36, merchants!$A$2:$D$41, 3, FALSE), "Merchant not found")</f>
        <v>ecommerce</v>
      </c>
      <c r="K36" t="str">
        <f>IFERROR(VLOOKUP(C36, merchants!$A$2:$D$41, 4, FALSE), "Merchant not found")</f>
        <v>North</v>
      </c>
      <c r="L36" s="2">
        <f>HLOOKUP(F36, merchants!$F$1:$I$2, 2, FALSE)</f>
        <v>1.7999999999999999E-2</v>
      </c>
      <c r="M36" t="str">
        <f t="shared" si="0"/>
        <v>Regular</v>
      </c>
      <c r="N36" s="5">
        <f t="shared" si="1"/>
        <v>46037</v>
      </c>
    </row>
    <row r="37" spans="1:14" x14ac:dyDescent="0.3">
      <c r="A37" t="s">
        <v>50</v>
      </c>
      <c r="B37">
        <v>327</v>
      </c>
      <c r="C37">
        <v>18</v>
      </c>
      <c r="D37" s="1">
        <v>46047.328472222223</v>
      </c>
      <c r="E37">
        <v>149</v>
      </c>
      <c r="F37" t="s">
        <v>24</v>
      </c>
      <c r="G37" t="s">
        <v>10</v>
      </c>
      <c r="H37">
        <v>98</v>
      </c>
      <c r="I37" t="str">
        <f>IFERROR(VLOOKUP(C37, merchants!$A$2:$D$41, 2, FALSE), "Merchant not found")</f>
        <v>Merchant_018</v>
      </c>
      <c r="J37" t="str">
        <f>IFERROR(VLOOKUP(C37, merchants!$A$2:$D$41, 3, FALSE), "Merchant not found")</f>
        <v>grocery</v>
      </c>
      <c r="K37" t="str">
        <f>IFERROR(VLOOKUP(C37, merchants!$A$2:$D$41, 4, FALSE), "Merchant not found")</f>
        <v>West</v>
      </c>
      <c r="L37" s="2">
        <f>HLOOKUP(F37, merchants!$F$1:$I$2, 2, FALSE)</f>
        <v>0.02</v>
      </c>
      <c r="M37" t="str">
        <f t="shared" si="0"/>
        <v>Regular</v>
      </c>
      <c r="N37" s="5">
        <f t="shared" si="1"/>
        <v>46047</v>
      </c>
    </row>
    <row r="38" spans="1:14" x14ac:dyDescent="0.3">
      <c r="A38" t="s">
        <v>51</v>
      </c>
      <c r="B38">
        <v>321</v>
      </c>
      <c r="C38">
        <v>16</v>
      </c>
      <c r="D38" s="1">
        <v>46047.688194444447</v>
      </c>
      <c r="E38">
        <v>49</v>
      </c>
      <c r="F38" t="s">
        <v>12</v>
      </c>
      <c r="G38" t="s">
        <v>10</v>
      </c>
      <c r="H38">
        <v>35</v>
      </c>
      <c r="I38" t="str">
        <f>IFERROR(VLOOKUP(C38, merchants!$A$2:$D$41, 2, FALSE), "Merchant not found")</f>
        <v>Merchant_016</v>
      </c>
      <c r="J38" t="str">
        <f>IFERROR(VLOOKUP(C38, merchants!$A$2:$D$41, 3, FALSE), "Merchant not found")</f>
        <v>bill_payment</v>
      </c>
      <c r="K38" t="str">
        <f>IFERROR(VLOOKUP(C38, merchants!$A$2:$D$41, 4, FALSE), "Merchant not found")</f>
        <v>West</v>
      </c>
      <c r="L38" s="2">
        <f>HLOOKUP(F38, merchants!$F$1:$I$2, 2, FALSE)</f>
        <v>0</v>
      </c>
      <c r="M38" t="str">
        <f t="shared" si="0"/>
        <v>Regular</v>
      </c>
      <c r="N38" s="5">
        <f t="shared" si="1"/>
        <v>46047</v>
      </c>
    </row>
    <row r="39" spans="1:14" x14ac:dyDescent="0.3">
      <c r="A39" t="s">
        <v>52</v>
      </c>
      <c r="B39">
        <v>147</v>
      </c>
      <c r="C39">
        <v>16</v>
      </c>
      <c r="D39" s="1">
        <v>46037.114583333336</v>
      </c>
      <c r="E39">
        <v>2999</v>
      </c>
      <c r="F39" t="s">
        <v>24</v>
      </c>
      <c r="G39" t="s">
        <v>10</v>
      </c>
      <c r="H39">
        <v>34</v>
      </c>
      <c r="I39" t="str">
        <f>IFERROR(VLOOKUP(C39, merchants!$A$2:$D$41, 2, FALSE), "Merchant not found")</f>
        <v>Merchant_016</v>
      </c>
      <c r="J39" t="str">
        <f>IFERROR(VLOOKUP(C39, merchants!$A$2:$D$41, 3, FALSE), "Merchant not found")</f>
        <v>bill_payment</v>
      </c>
      <c r="K39" t="str">
        <f>IFERROR(VLOOKUP(C39, merchants!$A$2:$D$41, 4, FALSE), "Merchant not found")</f>
        <v>West</v>
      </c>
      <c r="L39" s="2">
        <f>HLOOKUP(F39, merchants!$F$1:$I$2, 2, FALSE)</f>
        <v>0.02</v>
      </c>
      <c r="M39" t="str">
        <f t="shared" si="0"/>
        <v>Regular</v>
      </c>
      <c r="N39" s="5">
        <f t="shared" si="1"/>
        <v>46037</v>
      </c>
    </row>
    <row r="40" spans="1:14" x14ac:dyDescent="0.3">
      <c r="A40" t="s">
        <v>53</v>
      </c>
      <c r="B40">
        <v>277</v>
      </c>
      <c r="C40">
        <v>6</v>
      </c>
      <c r="D40" s="1">
        <v>46033.456250000003</v>
      </c>
      <c r="E40">
        <v>1499</v>
      </c>
      <c r="F40" t="s">
        <v>24</v>
      </c>
      <c r="G40" t="s">
        <v>10</v>
      </c>
      <c r="H40">
        <v>17</v>
      </c>
      <c r="I40" t="str">
        <f>IFERROR(VLOOKUP(C40, merchants!$A$2:$D$41, 2, FALSE), "Merchant not found")</f>
        <v>Merchant_006</v>
      </c>
      <c r="J40" t="str">
        <f>IFERROR(VLOOKUP(C40, merchants!$A$2:$D$41, 3, FALSE), "Merchant not found")</f>
        <v>food_delivery</v>
      </c>
      <c r="K40" t="str">
        <f>IFERROR(VLOOKUP(C40, merchants!$A$2:$D$41, 4, FALSE), "Merchant not found")</f>
        <v>South</v>
      </c>
      <c r="L40" s="2">
        <f>HLOOKUP(F40, merchants!$F$1:$I$2, 2, FALSE)</f>
        <v>0.02</v>
      </c>
      <c r="M40" t="str">
        <f t="shared" si="0"/>
        <v>Regular</v>
      </c>
      <c r="N40" s="5">
        <f t="shared" si="1"/>
        <v>46033</v>
      </c>
    </row>
    <row r="41" spans="1:14" x14ac:dyDescent="0.3">
      <c r="A41" t="s">
        <v>54</v>
      </c>
      <c r="B41">
        <v>79</v>
      </c>
      <c r="C41">
        <v>14</v>
      </c>
      <c r="D41" s="1">
        <v>46027.308333333334</v>
      </c>
      <c r="E41">
        <v>1499</v>
      </c>
      <c r="F41" t="s">
        <v>12</v>
      </c>
      <c r="G41" t="s">
        <v>10</v>
      </c>
      <c r="H41">
        <v>8</v>
      </c>
      <c r="I41" t="str">
        <f>IFERROR(VLOOKUP(C41, merchants!$A$2:$D$41, 2, FALSE), "Merchant not found")</f>
        <v>Merchant_014</v>
      </c>
      <c r="J41" t="str">
        <f>IFERROR(VLOOKUP(C41, merchants!$A$2:$D$41, 3, FALSE), "Merchant not found")</f>
        <v>grocery</v>
      </c>
      <c r="K41" t="str">
        <f>IFERROR(VLOOKUP(C41, merchants!$A$2:$D$41, 4, FALSE), "Merchant not found")</f>
        <v>East</v>
      </c>
      <c r="L41" s="2">
        <f>HLOOKUP(F41, merchants!$F$1:$I$2, 2, FALSE)</f>
        <v>0</v>
      </c>
      <c r="M41" t="str">
        <f t="shared" si="0"/>
        <v>Regular</v>
      </c>
      <c r="N41" s="5">
        <f t="shared" si="1"/>
        <v>46027</v>
      </c>
    </row>
    <row r="42" spans="1:14" x14ac:dyDescent="0.3">
      <c r="A42" t="s">
        <v>55</v>
      </c>
      <c r="B42">
        <v>278</v>
      </c>
      <c r="C42">
        <v>30</v>
      </c>
      <c r="D42" s="1">
        <v>46036.556250000001</v>
      </c>
      <c r="E42">
        <v>1499</v>
      </c>
      <c r="F42" t="s">
        <v>12</v>
      </c>
      <c r="G42" t="s">
        <v>10</v>
      </c>
      <c r="H42">
        <v>53</v>
      </c>
      <c r="I42" t="str">
        <f>IFERROR(VLOOKUP(C42, merchants!$A$2:$D$41, 2, FALSE), "Merchant not found")</f>
        <v>Merchant_030</v>
      </c>
      <c r="J42" t="str">
        <f>IFERROR(VLOOKUP(C42, merchants!$A$2:$D$41, 3, FALSE), "Merchant not found")</f>
        <v>travel</v>
      </c>
      <c r="K42" t="str">
        <f>IFERROR(VLOOKUP(C42, merchants!$A$2:$D$41, 4, FALSE), "Merchant not found")</f>
        <v>West</v>
      </c>
      <c r="L42" s="2">
        <f>HLOOKUP(F42, merchants!$F$1:$I$2, 2, FALSE)</f>
        <v>0</v>
      </c>
      <c r="M42" t="str">
        <f t="shared" si="0"/>
        <v>Regular</v>
      </c>
      <c r="N42" s="5">
        <f t="shared" si="1"/>
        <v>46036</v>
      </c>
    </row>
    <row r="43" spans="1:14" x14ac:dyDescent="0.3">
      <c r="A43" t="s">
        <v>56</v>
      </c>
      <c r="B43">
        <v>216</v>
      </c>
      <c r="C43">
        <v>25</v>
      </c>
      <c r="D43" s="1">
        <v>46024.286805555559</v>
      </c>
      <c r="E43">
        <v>99</v>
      </c>
      <c r="F43" t="s">
        <v>12</v>
      </c>
      <c r="G43" t="s">
        <v>10</v>
      </c>
      <c r="H43">
        <v>98</v>
      </c>
      <c r="I43" t="str">
        <f>IFERROR(VLOOKUP(C43, merchants!$A$2:$D$41, 2, FALSE), "Merchant not found")</f>
        <v>Merchant_025</v>
      </c>
      <c r="J43" t="str">
        <f>IFERROR(VLOOKUP(C43, merchants!$A$2:$D$41, 3, FALSE), "Merchant not found")</f>
        <v>travel</v>
      </c>
      <c r="K43" t="str">
        <f>IFERROR(VLOOKUP(C43, merchants!$A$2:$D$41, 4, FALSE), "Merchant not found")</f>
        <v>South</v>
      </c>
      <c r="L43" s="2">
        <f>HLOOKUP(F43, merchants!$F$1:$I$2, 2, FALSE)</f>
        <v>0</v>
      </c>
      <c r="M43" t="str">
        <f t="shared" si="0"/>
        <v>Regular</v>
      </c>
      <c r="N43" s="5">
        <f t="shared" si="1"/>
        <v>46024</v>
      </c>
    </row>
    <row r="44" spans="1:14" x14ac:dyDescent="0.3">
      <c r="A44" t="s">
        <v>57</v>
      </c>
      <c r="B44">
        <v>295</v>
      </c>
      <c r="C44">
        <v>25</v>
      </c>
      <c r="D44" s="1">
        <v>46041.917361111111</v>
      </c>
      <c r="E44">
        <v>1499</v>
      </c>
      <c r="F44" t="s">
        <v>12</v>
      </c>
      <c r="G44" t="s">
        <v>10</v>
      </c>
      <c r="H44">
        <v>61</v>
      </c>
      <c r="I44" t="str">
        <f>IFERROR(VLOOKUP(C44, merchants!$A$2:$D$41, 2, FALSE), "Merchant not found")</f>
        <v>Merchant_025</v>
      </c>
      <c r="J44" t="str">
        <f>IFERROR(VLOOKUP(C44, merchants!$A$2:$D$41, 3, FALSE), "Merchant not found")</f>
        <v>travel</v>
      </c>
      <c r="K44" t="str">
        <f>IFERROR(VLOOKUP(C44, merchants!$A$2:$D$41, 4, FALSE), "Merchant not found")</f>
        <v>South</v>
      </c>
      <c r="L44" s="2">
        <f>HLOOKUP(F44, merchants!$F$1:$I$2, 2, FALSE)</f>
        <v>0</v>
      </c>
      <c r="M44" t="str">
        <f t="shared" si="0"/>
        <v>Regular</v>
      </c>
      <c r="N44" s="5">
        <f t="shared" si="1"/>
        <v>46041</v>
      </c>
    </row>
    <row r="45" spans="1:14" x14ac:dyDescent="0.3">
      <c r="A45" t="s">
        <v>58</v>
      </c>
      <c r="B45">
        <v>200</v>
      </c>
      <c r="C45">
        <v>27</v>
      </c>
      <c r="D45" s="1">
        <v>46023.47152777778</v>
      </c>
      <c r="E45">
        <v>149</v>
      </c>
      <c r="F45" t="s">
        <v>12</v>
      </c>
      <c r="G45" t="s">
        <v>10</v>
      </c>
      <c r="H45">
        <v>68</v>
      </c>
      <c r="I45" t="str">
        <f>IFERROR(VLOOKUP(C45, merchants!$A$2:$D$41, 2, FALSE), "Merchant not found")</f>
        <v>Merchant_027</v>
      </c>
      <c r="J45" t="str">
        <f>IFERROR(VLOOKUP(C45, merchants!$A$2:$D$41, 3, FALSE), "Merchant not found")</f>
        <v>ecommerce</v>
      </c>
      <c r="K45" t="str">
        <f>IFERROR(VLOOKUP(C45, merchants!$A$2:$D$41, 4, FALSE), "Merchant not found")</f>
        <v>North</v>
      </c>
      <c r="L45" s="2">
        <f>HLOOKUP(F45, merchants!$F$1:$I$2, 2, FALSE)</f>
        <v>0</v>
      </c>
      <c r="M45" t="str">
        <f t="shared" si="0"/>
        <v>Regular</v>
      </c>
      <c r="N45" s="5">
        <f t="shared" si="1"/>
        <v>46023</v>
      </c>
    </row>
    <row r="46" spans="1:14" x14ac:dyDescent="0.3">
      <c r="A46" t="s">
        <v>59</v>
      </c>
      <c r="B46">
        <v>309</v>
      </c>
      <c r="C46">
        <v>15</v>
      </c>
      <c r="D46" s="1">
        <v>46046.981944444444</v>
      </c>
      <c r="E46">
        <v>99</v>
      </c>
      <c r="F46" t="s">
        <v>15</v>
      </c>
      <c r="G46" t="s">
        <v>10</v>
      </c>
      <c r="H46">
        <v>62</v>
      </c>
      <c r="I46" t="str">
        <f>IFERROR(VLOOKUP(C46, merchants!$A$2:$D$41, 2, FALSE), "Merchant not found")</f>
        <v>Merchant_015</v>
      </c>
      <c r="J46" t="str">
        <f>IFERROR(VLOOKUP(C46, merchants!$A$2:$D$41, 3, FALSE), "Merchant not found")</f>
        <v>travel</v>
      </c>
      <c r="K46" t="str">
        <f>IFERROR(VLOOKUP(C46, merchants!$A$2:$D$41, 4, FALSE), "Merchant not found")</f>
        <v>North</v>
      </c>
      <c r="L46" s="2">
        <f>HLOOKUP(F46, merchants!$F$1:$I$2, 2, FALSE)</f>
        <v>1.7999999999999999E-2</v>
      </c>
      <c r="M46" t="str">
        <f t="shared" si="0"/>
        <v>Regular</v>
      </c>
      <c r="N46" s="5">
        <f t="shared" si="1"/>
        <v>46046</v>
      </c>
    </row>
    <row r="47" spans="1:14" x14ac:dyDescent="0.3">
      <c r="A47" t="s">
        <v>60</v>
      </c>
      <c r="B47">
        <v>249</v>
      </c>
      <c r="C47">
        <v>2</v>
      </c>
      <c r="D47" s="1">
        <v>46030.352083333331</v>
      </c>
      <c r="E47">
        <v>299</v>
      </c>
      <c r="F47" t="s">
        <v>9</v>
      </c>
      <c r="G47" t="s">
        <v>10</v>
      </c>
      <c r="H47">
        <v>49</v>
      </c>
      <c r="I47" t="str">
        <f>IFERROR(VLOOKUP(C47, merchants!$A$2:$D$41, 2, FALSE), "Merchant not found")</f>
        <v>Merchant_002</v>
      </c>
      <c r="J47" t="str">
        <f>IFERROR(VLOOKUP(C47, merchants!$A$2:$D$41, 3, FALSE), "Merchant not found")</f>
        <v>grocery</v>
      </c>
      <c r="K47" t="str">
        <f>IFERROR(VLOOKUP(C47, merchants!$A$2:$D$41, 4, FALSE), "Merchant not found")</f>
        <v>West</v>
      </c>
      <c r="L47" s="2">
        <f>HLOOKUP(F47, merchants!$F$1:$I$2, 2, FALSE)</f>
        <v>1.4999999999999999E-2</v>
      </c>
      <c r="M47" t="str">
        <f t="shared" si="0"/>
        <v>Regular</v>
      </c>
      <c r="N47" s="5">
        <f t="shared" si="1"/>
        <v>46030</v>
      </c>
    </row>
    <row r="48" spans="1:14" x14ac:dyDescent="0.3">
      <c r="A48" t="s">
        <v>61</v>
      </c>
      <c r="B48">
        <v>208</v>
      </c>
      <c r="C48">
        <v>11</v>
      </c>
      <c r="D48" s="1">
        <v>46033.904861111114</v>
      </c>
      <c r="E48">
        <v>4999</v>
      </c>
      <c r="F48" t="s">
        <v>15</v>
      </c>
      <c r="G48" t="s">
        <v>10</v>
      </c>
      <c r="H48">
        <v>59</v>
      </c>
      <c r="I48" t="str">
        <f>IFERROR(VLOOKUP(C48, merchants!$A$2:$D$41, 2, FALSE), "Merchant not found")</f>
        <v>Merchant_011</v>
      </c>
      <c r="J48" t="str">
        <f>IFERROR(VLOOKUP(C48, merchants!$A$2:$D$41, 3, FALSE), "Merchant not found")</f>
        <v>ecommerce</v>
      </c>
      <c r="K48" t="str">
        <f>IFERROR(VLOOKUP(C48, merchants!$A$2:$D$41, 4, FALSE), "Merchant not found")</f>
        <v>North</v>
      </c>
      <c r="L48" s="2">
        <f>HLOOKUP(F48, merchants!$F$1:$I$2, 2, FALSE)</f>
        <v>1.7999999999999999E-2</v>
      </c>
      <c r="M48" t="str">
        <f t="shared" si="0"/>
        <v>Regular</v>
      </c>
      <c r="N48" s="5">
        <f t="shared" si="1"/>
        <v>46033</v>
      </c>
    </row>
    <row r="49" spans="1:14" x14ac:dyDescent="0.3">
      <c r="A49" t="s">
        <v>62</v>
      </c>
      <c r="B49">
        <v>274</v>
      </c>
      <c r="C49">
        <v>2</v>
      </c>
      <c r="D49" s="1">
        <v>46052.193749999999</v>
      </c>
      <c r="E49">
        <v>299</v>
      </c>
      <c r="F49" t="s">
        <v>12</v>
      </c>
      <c r="G49" t="s">
        <v>10</v>
      </c>
      <c r="H49">
        <v>50</v>
      </c>
      <c r="I49" t="str">
        <f>IFERROR(VLOOKUP(C49, merchants!$A$2:$D$41, 2, FALSE), "Merchant not found")</f>
        <v>Merchant_002</v>
      </c>
      <c r="J49" t="str">
        <f>IFERROR(VLOOKUP(C49, merchants!$A$2:$D$41, 3, FALSE), "Merchant not found")</f>
        <v>grocery</v>
      </c>
      <c r="K49" t="str">
        <f>IFERROR(VLOOKUP(C49, merchants!$A$2:$D$41, 4, FALSE), "Merchant not found")</f>
        <v>West</v>
      </c>
      <c r="L49" s="2">
        <f>HLOOKUP(F49, merchants!$F$1:$I$2, 2, FALSE)</f>
        <v>0</v>
      </c>
      <c r="M49" t="str">
        <f t="shared" si="0"/>
        <v>Regular</v>
      </c>
      <c r="N49" s="5">
        <f t="shared" si="1"/>
        <v>46052</v>
      </c>
    </row>
    <row r="50" spans="1:14" x14ac:dyDescent="0.3">
      <c r="A50" t="s">
        <v>63</v>
      </c>
      <c r="B50">
        <v>14</v>
      </c>
      <c r="C50">
        <v>6</v>
      </c>
      <c r="D50" s="1">
        <v>46041.779166666667</v>
      </c>
      <c r="E50">
        <v>49</v>
      </c>
      <c r="F50" t="s">
        <v>9</v>
      </c>
      <c r="G50" t="s">
        <v>10</v>
      </c>
      <c r="H50">
        <v>82</v>
      </c>
      <c r="I50" t="str">
        <f>IFERROR(VLOOKUP(C50, merchants!$A$2:$D$41, 2, FALSE), "Merchant not found")</f>
        <v>Merchant_006</v>
      </c>
      <c r="J50" t="str">
        <f>IFERROR(VLOOKUP(C50, merchants!$A$2:$D$41, 3, FALSE), "Merchant not found")</f>
        <v>food_delivery</v>
      </c>
      <c r="K50" t="str">
        <f>IFERROR(VLOOKUP(C50, merchants!$A$2:$D$41, 4, FALSE), "Merchant not found")</f>
        <v>South</v>
      </c>
      <c r="L50" s="2">
        <f>HLOOKUP(F50, merchants!$F$1:$I$2, 2, FALSE)</f>
        <v>1.4999999999999999E-2</v>
      </c>
      <c r="M50" t="str">
        <f t="shared" si="0"/>
        <v>Regular</v>
      </c>
      <c r="N50" s="5">
        <f t="shared" si="1"/>
        <v>46041</v>
      </c>
    </row>
    <row r="51" spans="1:14" x14ac:dyDescent="0.3">
      <c r="A51" t="s">
        <v>64</v>
      </c>
      <c r="B51">
        <v>237</v>
      </c>
      <c r="C51">
        <v>12</v>
      </c>
      <c r="D51" s="1">
        <v>46036.204861111109</v>
      </c>
      <c r="E51">
        <v>49</v>
      </c>
      <c r="F51" t="s">
        <v>12</v>
      </c>
      <c r="G51" t="s">
        <v>10</v>
      </c>
      <c r="H51">
        <v>6</v>
      </c>
      <c r="I51" t="str">
        <f>IFERROR(VLOOKUP(C51, merchants!$A$2:$D$41, 2, FALSE), "Merchant not found")</f>
        <v>Merchant_012</v>
      </c>
      <c r="J51" t="str">
        <f>IFERROR(VLOOKUP(C51, merchants!$A$2:$D$41, 3, FALSE), "Merchant not found")</f>
        <v>ecommerce</v>
      </c>
      <c r="K51" t="str">
        <f>IFERROR(VLOOKUP(C51, merchants!$A$2:$D$41, 4, FALSE), "Merchant not found")</f>
        <v>East</v>
      </c>
      <c r="L51" s="2">
        <f>HLOOKUP(F51, merchants!$F$1:$I$2, 2, FALSE)</f>
        <v>0</v>
      </c>
      <c r="M51" t="str">
        <f t="shared" si="0"/>
        <v>Regular</v>
      </c>
      <c r="N51" s="5">
        <f t="shared" si="1"/>
        <v>46036</v>
      </c>
    </row>
    <row r="52" spans="1:14" x14ac:dyDescent="0.3">
      <c r="A52" t="s">
        <v>65</v>
      </c>
      <c r="B52">
        <v>109</v>
      </c>
      <c r="C52">
        <v>30</v>
      </c>
      <c r="D52" s="1">
        <v>46031.513888888891</v>
      </c>
      <c r="E52">
        <v>99</v>
      </c>
      <c r="F52" t="s">
        <v>12</v>
      </c>
      <c r="G52" t="s">
        <v>10</v>
      </c>
      <c r="H52">
        <v>41</v>
      </c>
      <c r="I52" t="str">
        <f>IFERROR(VLOOKUP(C52, merchants!$A$2:$D$41, 2, FALSE), "Merchant not found")</f>
        <v>Merchant_030</v>
      </c>
      <c r="J52" t="str">
        <f>IFERROR(VLOOKUP(C52, merchants!$A$2:$D$41, 3, FALSE), "Merchant not found")</f>
        <v>travel</v>
      </c>
      <c r="K52" t="str">
        <f>IFERROR(VLOOKUP(C52, merchants!$A$2:$D$41, 4, FALSE), "Merchant not found")</f>
        <v>West</v>
      </c>
      <c r="L52" s="2">
        <f>HLOOKUP(F52, merchants!$F$1:$I$2, 2, FALSE)</f>
        <v>0</v>
      </c>
      <c r="M52" t="str">
        <f t="shared" si="0"/>
        <v>Regular</v>
      </c>
      <c r="N52" s="5">
        <f t="shared" si="1"/>
        <v>46031</v>
      </c>
    </row>
    <row r="53" spans="1:14" x14ac:dyDescent="0.3">
      <c r="A53" t="s">
        <v>66</v>
      </c>
      <c r="B53">
        <v>216</v>
      </c>
      <c r="C53">
        <v>17</v>
      </c>
      <c r="D53" s="1">
        <v>46033.511805555558</v>
      </c>
      <c r="E53">
        <v>4999</v>
      </c>
      <c r="F53" t="s">
        <v>12</v>
      </c>
      <c r="G53" t="s">
        <v>10</v>
      </c>
      <c r="H53">
        <v>10</v>
      </c>
      <c r="I53" t="str">
        <f>IFERROR(VLOOKUP(C53, merchants!$A$2:$D$41, 2, FALSE), "Merchant not found")</f>
        <v>Merchant_017</v>
      </c>
      <c r="J53" t="str">
        <f>IFERROR(VLOOKUP(C53, merchants!$A$2:$D$41, 3, FALSE), "Merchant not found")</f>
        <v>grocery</v>
      </c>
      <c r="K53" t="str">
        <f>IFERROR(VLOOKUP(C53, merchants!$A$2:$D$41, 4, FALSE), "Merchant not found")</f>
        <v>North</v>
      </c>
      <c r="L53" s="2">
        <f>HLOOKUP(F53, merchants!$F$1:$I$2, 2, FALSE)</f>
        <v>0</v>
      </c>
      <c r="M53" t="str">
        <f t="shared" si="0"/>
        <v>High-Value Day</v>
      </c>
      <c r="N53" s="5">
        <f t="shared" si="1"/>
        <v>46033</v>
      </c>
    </row>
    <row r="54" spans="1:14" x14ac:dyDescent="0.3">
      <c r="A54" t="s">
        <v>67</v>
      </c>
      <c r="B54">
        <v>277</v>
      </c>
      <c r="C54">
        <v>4</v>
      </c>
      <c r="D54" s="1">
        <v>46038.032638888886</v>
      </c>
      <c r="E54">
        <v>799</v>
      </c>
      <c r="F54" t="s">
        <v>12</v>
      </c>
      <c r="G54" t="s">
        <v>10</v>
      </c>
      <c r="H54">
        <v>44</v>
      </c>
      <c r="I54" t="str">
        <f>IFERROR(VLOOKUP(C54, merchants!$A$2:$D$41, 2, FALSE), "Merchant not found")</f>
        <v>Merchant_004</v>
      </c>
      <c r="J54" t="str">
        <f>IFERROR(VLOOKUP(C54, merchants!$A$2:$D$41, 3, FALSE), "Merchant not found")</f>
        <v>ecommerce</v>
      </c>
      <c r="K54" t="str">
        <f>IFERROR(VLOOKUP(C54, merchants!$A$2:$D$41, 4, FALSE), "Merchant not found")</f>
        <v>East</v>
      </c>
      <c r="L54" s="2">
        <f>HLOOKUP(F54, merchants!$F$1:$I$2, 2, FALSE)</f>
        <v>0</v>
      </c>
      <c r="M54" t="str">
        <f t="shared" si="0"/>
        <v>Regular</v>
      </c>
      <c r="N54" s="5">
        <f t="shared" si="1"/>
        <v>46038</v>
      </c>
    </row>
    <row r="55" spans="1:14" x14ac:dyDescent="0.3">
      <c r="A55" t="s">
        <v>68</v>
      </c>
      <c r="B55">
        <v>334</v>
      </c>
      <c r="C55">
        <v>3</v>
      </c>
      <c r="D55" s="1">
        <v>46030.836111111108</v>
      </c>
      <c r="E55">
        <v>149</v>
      </c>
      <c r="F55" t="s">
        <v>9</v>
      </c>
      <c r="G55" t="s">
        <v>10</v>
      </c>
      <c r="H55">
        <v>96</v>
      </c>
      <c r="I55" t="str">
        <f>IFERROR(VLOOKUP(C55, merchants!$A$2:$D$41, 2, FALSE), "Merchant not found")</f>
        <v>Merchant_003</v>
      </c>
      <c r="J55" t="str">
        <f>IFERROR(VLOOKUP(C55, merchants!$A$2:$D$41, 3, FALSE), "Merchant not found")</f>
        <v>grocery</v>
      </c>
      <c r="K55" t="str">
        <f>IFERROR(VLOOKUP(C55, merchants!$A$2:$D$41, 4, FALSE), "Merchant not found")</f>
        <v>East</v>
      </c>
      <c r="L55" s="2">
        <f>HLOOKUP(F55, merchants!$F$1:$I$2, 2, FALSE)</f>
        <v>1.4999999999999999E-2</v>
      </c>
      <c r="M55" t="str">
        <f t="shared" si="0"/>
        <v>Regular</v>
      </c>
      <c r="N55" s="5">
        <f t="shared" si="1"/>
        <v>46030</v>
      </c>
    </row>
    <row r="56" spans="1:14" x14ac:dyDescent="0.3">
      <c r="A56" t="s">
        <v>69</v>
      </c>
      <c r="B56">
        <v>11</v>
      </c>
      <c r="C56">
        <v>40</v>
      </c>
      <c r="D56" s="1">
        <v>46023.3</v>
      </c>
      <c r="E56">
        <v>299</v>
      </c>
      <c r="F56" t="s">
        <v>12</v>
      </c>
      <c r="G56" t="s">
        <v>10</v>
      </c>
      <c r="H56">
        <v>19</v>
      </c>
      <c r="I56" t="str">
        <f>IFERROR(VLOOKUP(C56, merchants!$A$2:$D$41, 2, FALSE), "Merchant not found")</f>
        <v>Merchant_040</v>
      </c>
      <c r="J56" t="str">
        <f>IFERROR(VLOOKUP(C56, merchants!$A$2:$D$41, 3, FALSE), "Merchant not found")</f>
        <v>entertainment</v>
      </c>
      <c r="K56" t="str">
        <f>IFERROR(VLOOKUP(C56, merchants!$A$2:$D$41, 4, FALSE), "Merchant not found")</f>
        <v>South</v>
      </c>
      <c r="L56" s="2">
        <f>HLOOKUP(F56, merchants!$F$1:$I$2, 2, FALSE)</f>
        <v>0</v>
      </c>
      <c r="M56" t="str">
        <f t="shared" si="0"/>
        <v>Regular</v>
      </c>
      <c r="N56" s="5">
        <f t="shared" si="1"/>
        <v>46023</v>
      </c>
    </row>
    <row r="57" spans="1:14" x14ac:dyDescent="0.3">
      <c r="A57" t="s">
        <v>70</v>
      </c>
      <c r="B57">
        <v>343</v>
      </c>
      <c r="C57">
        <v>8</v>
      </c>
      <c r="D57" s="1">
        <v>46030.1875</v>
      </c>
      <c r="E57">
        <v>99</v>
      </c>
      <c r="F57" t="s">
        <v>12</v>
      </c>
      <c r="G57" t="s">
        <v>10</v>
      </c>
      <c r="H57">
        <v>72</v>
      </c>
      <c r="I57" t="str">
        <f>IFERROR(VLOOKUP(C57, merchants!$A$2:$D$41, 2, FALSE), "Merchant not found")</f>
        <v>Merchant_008</v>
      </c>
      <c r="J57" t="str">
        <f>IFERROR(VLOOKUP(C57, merchants!$A$2:$D$41, 3, FALSE), "Merchant not found")</f>
        <v>food_delivery</v>
      </c>
      <c r="K57" t="str">
        <f>IFERROR(VLOOKUP(C57, merchants!$A$2:$D$41, 4, FALSE), "Merchant not found")</f>
        <v>North</v>
      </c>
      <c r="L57" s="2">
        <f>HLOOKUP(F57, merchants!$F$1:$I$2, 2, FALSE)</f>
        <v>0</v>
      </c>
      <c r="M57" t="str">
        <f t="shared" si="0"/>
        <v>Regular</v>
      </c>
      <c r="N57" s="5">
        <f t="shared" si="1"/>
        <v>46030</v>
      </c>
    </row>
    <row r="58" spans="1:14" x14ac:dyDescent="0.3">
      <c r="A58" t="s">
        <v>71</v>
      </c>
      <c r="B58">
        <v>132</v>
      </c>
      <c r="C58">
        <v>24</v>
      </c>
      <c r="D58" s="1">
        <v>46029.613888888889</v>
      </c>
      <c r="E58">
        <v>299</v>
      </c>
      <c r="F58" t="s">
        <v>9</v>
      </c>
      <c r="G58" t="s">
        <v>10</v>
      </c>
      <c r="H58">
        <v>21</v>
      </c>
      <c r="I58" t="str">
        <f>IFERROR(VLOOKUP(C58, merchants!$A$2:$D$41, 2, FALSE), "Merchant not found")</f>
        <v>Merchant_024</v>
      </c>
      <c r="J58" t="str">
        <f>IFERROR(VLOOKUP(C58, merchants!$A$2:$D$41, 3, FALSE), "Merchant not found")</f>
        <v>grocery</v>
      </c>
      <c r="K58" t="str">
        <f>IFERROR(VLOOKUP(C58, merchants!$A$2:$D$41, 4, FALSE), "Merchant not found")</f>
        <v>North</v>
      </c>
      <c r="L58" s="2">
        <f>HLOOKUP(F58, merchants!$F$1:$I$2, 2, FALSE)</f>
        <v>1.4999999999999999E-2</v>
      </c>
      <c r="M58" t="str">
        <f t="shared" si="0"/>
        <v>Regular</v>
      </c>
      <c r="N58" s="5">
        <f t="shared" si="1"/>
        <v>46029</v>
      </c>
    </row>
    <row r="59" spans="1:14" x14ac:dyDescent="0.3">
      <c r="A59" t="s">
        <v>72</v>
      </c>
      <c r="B59">
        <v>59</v>
      </c>
      <c r="C59">
        <v>11</v>
      </c>
      <c r="D59" s="1">
        <v>46042.824305555558</v>
      </c>
      <c r="E59">
        <v>299</v>
      </c>
      <c r="F59" t="s">
        <v>12</v>
      </c>
      <c r="G59" t="s">
        <v>10</v>
      </c>
      <c r="H59">
        <v>39</v>
      </c>
      <c r="I59" t="str">
        <f>IFERROR(VLOOKUP(C59, merchants!$A$2:$D$41, 2, FALSE), "Merchant not found")</f>
        <v>Merchant_011</v>
      </c>
      <c r="J59" t="str">
        <f>IFERROR(VLOOKUP(C59, merchants!$A$2:$D$41, 3, FALSE), "Merchant not found")</f>
        <v>ecommerce</v>
      </c>
      <c r="K59" t="str">
        <f>IFERROR(VLOOKUP(C59, merchants!$A$2:$D$41, 4, FALSE), "Merchant not found")</f>
        <v>North</v>
      </c>
      <c r="L59" s="2">
        <f>HLOOKUP(F59, merchants!$F$1:$I$2, 2, FALSE)</f>
        <v>0</v>
      </c>
      <c r="M59" t="str">
        <f t="shared" si="0"/>
        <v>Regular</v>
      </c>
      <c r="N59" s="5">
        <f t="shared" si="1"/>
        <v>46042</v>
      </c>
    </row>
    <row r="60" spans="1:14" x14ac:dyDescent="0.3">
      <c r="A60" t="s">
        <v>73</v>
      </c>
      <c r="B60">
        <v>160</v>
      </c>
      <c r="C60">
        <v>37</v>
      </c>
      <c r="D60" s="1">
        <v>46026.750694444447</v>
      </c>
      <c r="E60">
        <v>49</v>
      </c>
      <c r="F60" t="s">
        <v>9</v>
      </c>
      <c r="G60" t="s">
        <v>10</v>
      </c>
      <c r="H60">
        <v>86</v>
      </c>
      <c r="I60" t="str">
        <f>IFERROR(VLOOKUP(C60, merchants!$A$2:$D$41, 2, FALSE), "Merchant not found")</f>
        <v>Merchant_037</v>
      </c>
      <c r="J60" t="str">
        <f>IFERROR(VLOOKUP(C60, merchants!$A$2:$D$41, 3, FALSE), "Merchant not found")</f>
        <v>entertainment</v>
      </c>
      <c r="K60" t="str">
        <f>IFERROR(VLOOKUP(C60, merchants!$A$2:$D$41, 4, FALSE), "Merchant not found")</f>
        <v>South</v>
      </c>
      <c r="L60" s="2">
        <f>HLOOKUP(F60, merchants!$F$1:$I$2, 2, FALSE)</f>
        <v>1.4999999999999999E-2</v>
      </c>
      <c r="M60" t="str">
        <f t="shared" si="0"/>
        <v>Regular</v>
      </c>
      <c r="N60" s="5">
        <f t="shared" si="1"/>
        <v>46026</v>
      </c>
    </row>
    <row r="61" spans="1:14" x14ac:dyDescent="0.3">
      <c r="A61" t="s">
        <v>74</v>
      </c>
      <c r="B61">
        <v>102</v>
      </c>
      <c r="C61">
        <v>5</v>
      </c>
      <c r="D61" s="1">
        <v>46052.517361111109</v>
      </c>
      <c r="E61">
        <v>2999</v>
      </c>
      <c r="F61" t="s">
        <v>12</v>
      </c>
      <c r="G61" t="s">
        <v>10</v>
      </c>
      <c r="H61">
        <v>75</v>
      </c>
      <c r="I61" t="str">
        <f>IFERROR(VLOOKUP(C61, merchants!$A$2:$D$41, 2, FALSE), "Merchant not found")</f>
        <v>Merchant_005</v>
      </c>
      <c r="J61" t="str">
        <f>IFERROR(VLOOKUP(C61, merchants!$A$2:$D$41, 3, FALSE), "Merchant not found")</f>
        <v>recharge</v>
      </c>
      <c r="K61" t="str">
        <f>IFERROR(VLOOKUP(C61, merchants!$A$2:$D$41, 4, FALSE), "Merchant not found")</f>
        <v>South</v>
      </c>
      <c r="L61" s="2">
        <f>HLOOKUP(F61, merchants!$F$1:$I$2, 2, FALSE)</f>
        <v>0</v>
      </c>
      <c r="M61" t="str">
        <f t="shared" si="0"/>
        <v>Regular</v>
      </c>
      <c r="N61" s="5">
        <f t="shared" si="1"/>
        <v>46052</v>
      </c>
    </row>
    <row r="62" spans="1:14" x14ac:dyDescent="0.3">
      <c r="A62" t="s">
        <v>75</v>
      </c>
      <c r="B62">
        <v>53</v>
      </c>
      <c r="C62">
        <v>20</v>
      </c>
      <c r="D62" s="1">
        <v>46045.84375</v>
      </c>
      <c r="E62">
        <v>49</v>
      </c>
      <c r="F62" t="s">
        <v>15</v>
      </c>
      <c r="G62" t="s">
        <v>10</v>
      </c>
      <c r="H62">
        <v>87</v>
      </c>
      <c r="I62" t="str">
        <f>IFERROR(VLOOKUP(C62, merchants!$A$2:$D$41, 2, FALSE), "Merchant not found")</f>
        <v>Merchant_020</v>
      </c>
      <c r="J62" t="str">
        <f>IFERROR(VLOOKUP(C62, merchants!$A$2:$D$41, 3, FALSE), "Merchant not found")</f>
        <v>food_delivery</v>
      </c>
      <c r="K62" t="str">
        <f>IFERROR(VLOOKUP(C62, merchants!$A$2:$D$41, 4, FALSE), "Merchant not found")</f>
        <v>East</v>
      </c>
      <c r="L62" s="2">
        <f>HLOOKUP(F62, merchants!$F$1:$I$2, 2, FALSE)</f>
        <v>1.7999999999999999E-2</v>
      </c>
      <c r="M62" t="str">
        <f t="shared" si="0"/>
        <v>Regular</v>
      </c>
      <c r="N62" s="5">
        <f t="shared" si="1"/>
        <v>46045</v>
      </c>
    </row>
    <row r="63" spans="1:14" x14ac:dyDescent="0.3">
      <c r="A63" t="s">
        <v>76</v>
      </c>
      <c r="B63">
        <v>290</v>
      </c>
      <c r="C63">
        <v>3</v>
      </c>
      <c r="D63" s="1">
        <v>46042.159722222219</v>
      </c>
      <c r="E63">
        <v>99</v>
      </c>
      <c r="F63" t="s">
        <v>9</v>
      </c>
      <c r="G63" t="s">
        <v>10</v>
      </c>
      <c r="H63">
        <v>44</v>
      </c>
      <c r="I63" t="str">
        <f>IFERROR(VLOOKUP(C63, merchants!$A$2:$D$41, 2, FALSE), "Merchant not found")</f>
        <v>Merchant_003</v>
      </c>
      <c r="J63" t="str">
        <f>IFERROR(VLOOKUP(C63, merchants!$A$2:$D$41, 3, FALSE), "Merchant not found")</f>
        <v>grocery</v>
      </c>
      <c r="K63" t="str">
        <f>IFERROR(VLOOKUP(C63, merchants!$A$2:$D$41, 4, FALSE), "Merchant not found")</f>
        <v>East</v>
      </c>
      <c r="L63" s="2">
        <f>HLOOKUP(F63, merchants!$F$1:$I$2, 2, FALSE)</f>
        <v>1.4999999999999999E-2</v>
      </c>
      <c r="M63" t="str">
        <f t="shared" si="0"/>
        <v>Regular</v>
      </c>
      <c r="N63" s="5">
        <f t="shared" si="1"/>
        <v>46042</v>
      </c>
    </row>
    <row r="64" spans="1:14" x14ac:dyDescent="0.3">
      <c r="A64" t="s">
        <v>77</v>
      </c>
      <c r="B64">
        <v>190</v>
      </c>
      <c r="C64">
        <v>5</v>
      </c>
      <c r="D64" s="1">
        <v>46040.570833333331</v>
      </c>
      <c r="E64">
        <v>299</v>
      </c>
      <c r="F64" t="s">
        <v>12</v>
      </c>
      <c r="G64" t="s">
        <v>10</v>
      </c>
      <c r="H64">
        <v>64</v>
      </c>
      <c r="I64" t="str">
        <f>IFERROR(VLOOKUP(C64, merchants!$A$2:$D$41, 2, FALSE), "Merchant not found")</f>
        <v>Merchant_005</v>
      </c>
      <c r="J64" t="str">
        <f>IFERROR(VLOOKUP(C64, merchants!$A$2:$D$41, 3, FALSE), "Merchant not found")</f>
        <v>recharge</v>
      </c>
      <c r="K64" t="str">
        <f>IFERROR(VLOOKUP(C64, merchants!$A$2:$D$41, 4, FALSE), "Merchant not found")</f>
        <v>South</v>
      </c>
      <c r="L64" s="2">
        <f>HLOOKUP(F64, merchants!$F$1:$I$2, 2, FALSE)</f>
        <v>0</v>
      </c>
      <c r="M64" t="str">
        <f t="shared" si="0"/>
        <v>Regular</v>
      </c>
      <c r="N64" s="5">
        <f t="shared" si="1"/>
        <v>46040</v>
      </c>
    </row>
    <row r="65" spans="1:14" x14ac:dyDescent="0.3">
      <c r="A65" t="s">
        <v>78</v>
      </c>
      <c r="B65">
        <v>216</v>
      </c>
      <c r="C65">
        <v>32</v>
      </c>
      <c r="D65" s="1">
        <v>46043.416666666664</v>
      </c>
      <c r="E65">
        <v>49</v>
      </c>
      <c r="F65" t="s">
        <v>24</v>
      </c>
      <c r="G65" t="s">
        <v>10</v>
      </c>
      <c r="H65">
        <v>13</v>
      </c>
      <c r="I65" t="str">
        <f>IFERROR(VLOOKUP(C65, merchants!$A$2:$D$41, 2, FALSE), "Merchant not found")</f>
        <v>Merchant_032</v>
      </c>
      <c r="J65" t="str">
        <f>IFERROR(VLOOKUP(C65, merchants!$A$2:$D$41, 3, FALSE), "Merchant not found")</f>
        <v>food_delivery</v>
      </c>
      <c r="K65" t="str">
        <f>IFERROR(VLOOKUP(C65, merchants!$A$2:$D$41, 4, FALSE), "Merchant not found")</f>
        <v>West</v>
      </c>
      <c r="L65" s="2">
        <f>HLOOKUP(F65, merchants!$F$1:$I$2, 2, FALSE)</f>
        <v>0.02</v>
      </c>
      <c r="M65" t="str">
        <f t="shared" si="0"/>
        <v>Regular</v>
      </c>
      <c r="N65" s="5">
        <f t="shared" si="1"/>
        <v>46043</v>
      </c>
    </row>
    <row r="66" spans="1:14" x14ac:dyDescent="0.3">
      <c r="A66" t="s">
        <v>79</v>
      </c>
      <c r="B66">
        <v>236</v>
      </c>
      <c r="C66">
        <v>10</v>
      </c>
      <c r="D66" s="1">
        <v>46036.486111111109</v>
      </c>
      <c r="E66">
        <v>499</v>
      </c>
      <c r="F66" t="s">
        <v>12</v>
      </c>
      <c r="G66" t="s">
        <v>10</v>
      </c>
      <c r="H66">
        <v>55</v>
      </c>
      <c r="I66" t="str">
        <f>IFERROR(VLOOKUP(C66, merchants!$A$2:$D$41, 2, FALSE), "Merchant not found")</f>
        <v>Merchant_010</v>
      </c>
      <c r="J66" t="str">
        <f>IFERROR(VLOOKUP(C66, merchants!$A$2:$D$41, 3, FALSE), "Merchant not found")</f>
        <v>grocery</v>
      </c>
      <c r="K66" t="str">
        <f>IFERROR(VLOOKUP(C66, merchants!$A$2:$D$41, 4, FALSE), "Merchant not found")</f>
        <v>West</v>
      </c>
      <c r="L66" s="2">
        <f>HLOOKUP(F66, merchants!$F$1:$I$2, 2, FALSE)</f>
        <v>0</v>
      </c>
      <c r="M66" t="str">
        <f t="shared" si="0"/>
        <v>Regular</v>
      </c>
      <c r="N66" s="5">
        <f t="shared" si="1"/>
        <v>46036</v>
      </c>
    </row>
    <row r="67" spans="1:14" x14ac:dyDescent="0.3">
      <c r="A67" t="s">
        <v>80</v>
      </c>
      <c r="B67">
        <v>334</v>
      </c>
      <c r="C67">
        <v>18</v>
      </c>
      <c r="D67" s="1">
        <v>46028.981249999997</v>
      </c>
      <c r="E67">
        <v>499</v>
      </c>
      <c r="F67" t="s">
        <v>24</v>
      </c>
      <c r="G67" t="s">
        <v>10</v>
      </c>
      <c r="H67">
        <v>78</v>
      </c>
      <c r="I67" t="str">
        <f>IFERROR(VLOOKUP(C67, merchants!$A$2:$D$41, 2, FALSE), "Merchant not found")</f>
        <v>Merchant_018</v>
      </c>
      <c r="J67" t="str">
        <f>IFERROR(VLOOKUP(C67, merchants!$A$2:$D$41, 3, FALSE), "Merchant not found")</f>
        <v>grocery</v>
      </c>
      <c r="K67" t="str">
        <f>IFERROR(VLOOKUP(C67, merchants!$A$2:$D$41, 4, FALSE), "Merchant not found")</f>
        <v>West</v>
      </c>
      <c r="L67" s="2">
        <f>HLOOKUP(F67, merchants!$F$1:$I$2, 2, FALSE)</f>
        <v>0.02</v>
      </c>
      <c r="M67" t="str">
        <f t="shared" ref="M67:M130" si="2">IF(AND(SUMIFS($E:$E, $C:$C, C67, $D:$D, "&gt;="&amp;INT(D67), $D:$D, "&lt;"&amp;INT(D67)+1) &gt; 5000, K67 &lt;&gt; "East"), "High-Value Day", "Regular")</f>
        <v>Regular</v>
      </c>
      <c r="N67" s="5">
        <f t="shared" ref="N67:N130" si="3">INT(D67)</f>
        <v>46028</v>
      </c>
    </row>
    <row r="68" spans="1:14" x14ac:dyDescent="0.3">
      <c r="A68" t="s">
        <v>81</v>
      </c>
      <c r="B68">
        <v>248</v>
      </c>
      <c r="C68">
        <v>30</v>
      </c>
      <c r="D68" s="1">
        <v>46048.742361111108</v>
      </c>
      <c r="E68">
        <v>799</v>
      </c>
      <c r="F68" t="s">
        <v>9</v>
      </c>
      <c r="G68" t="s">
        <v>10</v>
      </c>
      <c r="H68">
        <v>55</v>
      </c>
      <c r="I68" t="str">
        <f>IFERROR(VLOOKUP(C68, merchants!$A$2:$D$41, 2, FALSE), "Merchant not found")</f>
        <v>Merchant_030</v>
      </c>
      <c r="J68" t="str">
        <f>IFERROR(VLOOKUP(C68, merchants!$A$2:$D$41, 3, FALSE), "Merchant not found")</f>
        <v>travel</v>
      </c>
      <c r="K68" t="str">
        <f>IFERROR(VLOOKUP(C68, merchants!$A$2:$D$41, 4, FALSE), "Merchant not found")</f>
        <v>West</v>
      </c>
      <c r="L68" s="2">
        <f>HLOOKUP(F68, merchants!$F$1:$I$2, 2, FALSE)</f>
        <v>1.4999999999999999E-2</v>
      </c>
      <c r="M68" t="str">
        <f t="shared" si="2"/>
        <v>Regular</v>
      </c>
      <c r="N68" s="5">
        <f t="shared" si="3"/>
        <v>46048</v>
      </c>
    </row>
    <row r="69" spans="1:14" x14ac:dyDescent="0.3">
      <c r="A69" t="s">
        <v>82</v>
      </c>
      <c r="B69">
        <v>138</v>
      </c>
      <c r="C69">
        <v>21</v>
      </c>
      <c r="D69" s="1">
        <v>46049.984027777777</v>
      </c>
      <c r="E69">
        <v>49</v>
      </c>
      <c r="F69" t="s">
        <v>24</v>
      </c>
      <c r="G69" t="s">
        <v>10</v>
      </c>
      <c r="H69">
        <v>31</v>
      </c>
      <c r="I69" t="str">
        <f>IFERROR(VLOOKUP(C69, merchants!$A$2:$D$41, 2, FALSE), "Merchant not found")</f>
        <v>Merchant_021</v>
      </c>
      <c r="J69" t="str">
        <f>IFERROR(VLOOKUP(C69, merchants!$A$2:$D$41, 3, FALSE), "Merchant not found")</f>
        <v>food_delivery</v>
      </c>
      <c r="K69" t="str">
        <f>IFERROR(VLOOKUP(C69, merchants!$A$2:$D$41, 4, FALSE), "Merchant not found")</f>
        <v>East</v>
      </c>
      <c r="L69" s="2">
        <f>HLOOKUP(F69, merchants!$F$1:$I$2, 2, FALSE)</f>
        <v>0.02</v>
      </c>
      <c r="M69" t="str">
        <f t="shared" si="2"/>
        <v>Regular</v>
      </c>
      <c r="N69" s="5">
        <f t="shared" si="3"/>
        <v>46049</v>
      </c>
    </row>
    <row r="70" spans="1:14" x14ac:dyDescent="0.3">
      <c r="A70" t="s">
        <v>83</v>
      </c>
      <c r="B70">
        <v>231</v>
      </c>
      <c r="C70">
        <v>16</v>
      </c>
      <c r="D70" s="1">
        <v>46049.095138888886</v>
      </c>
      <c r="E70">
        <v>49</v>
      </c>
      <c r="F70" t="s">
        <v>12</v>
      </c>
      <c r="G70" t="s">
        <v>10</v>
      </c>
      <c r="H70">
        <v>96</v>
      </c>
      <c r="I70" t="str">
        <f>IFERROR(VLOOKUP(C70, merchants!$A$2:$D$41, 2, FALSE), "Merchant not found")</f>
        <v>Merchant_016</v>
      </c>
      <c r="J70" t="str">
        <f>IFERROR(VLOOKUP(C70, merchants!$A$2:$D$41, 3, FALSE), "Merchant not found")</f>
        <v>bill_payment</v>
      </c>
      <c r="K70" t="str">
        <f>IFERROR(VLOOKUP(C70, merchants!$A$2:$D$41, 4, FALSE), "Merchant not found")</f>
        <v>West</v>
      </c>
      <c r="L70" s="2">
        <f>HLOOKUP(F70, merchants!$F$1:$I$2, 2, FALSE)</f>
        <v>0</v>
      </c>
      <c r="M70" t="str">
        <f t="shared" si="2"/>
        <v>Regular</v>
      </c>
      <c r="N70" s="5">
        <f t="shared" si="3"/>
        <v>46049</v>
      </c>
    </row>
    <row r="71" spans="1:14" x14ac:dyDescent="0.3">
      <c r="A71" t="s">
        <v>84</v>
      </c>
      <c r="B71">
        <v>343</v>
      </c>
      <c r="C71">
        <v>25</v>
      </c>
      <c r="D71" s="1">
        <v>46037.777083333334</v>
      </c>
      <c r="E71">
        <v>49</v>
      </c>
      <c r="F71" t="s">
        <v>12</v>
      </c>
      <c r="G71" t="s">
        <v>10</v>
      </c>
      <c r="H71">
        <v>43</v>
      </c>
      <c r="I71" t="str">
        <f>IFERROR(VLOOKUP(C71, merchants!$A$2:$D$41, 2, FALSE), "Merchant not found")</f>
        <v>Merchant_025</v>
      </c>
      <c r="J71" t="str">
        <f>IFERROR(VLOOKUP(C71, merchants!$A$2:$D$41, 3, FALSE), "Merchant not found")</f>
        <v>travel</v>
      </c>
      <c r="K71" t="str">
        <f>IFERROR(VLOOKUP(C71, merchants!$A$2:$D$41, 4, FALSE), "Merchant not found")</f>
        <v>South</v>
      </c>
      <c r="L71" s="2">
        <f>HLOOKUP(F71, merchants!$F$1:$I$2, 2, FALSE)</f>
        <v>0</v>
      </c>
      <c r="M71" t="str">
        <f t="shared" si="2"/>
        <v>Regular</v>
      </c>
      <c r="N71" s="5">
        <f t="shared" si="3"/>
        <v>46037</v>
      </c>
    </row>
    <row r="72" spans="1:14" x14ac:dyDescent="0.3">
      <c r="A72" t="s">
        <v>85</v>
      </c>
      <c r="B72">
        <v>167</v>
      </c>
      <c r="C72">
        <v>12</v>
      </c>
      <c r="D72" s="1">
        <v>46023.662499999999</v>
      </c>
      <c r="E72">
        <v>499</v>
      </c>
      <c r="F72" t="s">
        <v>9</v>
      </c>
      <c r="G72" t="s">
        <v>10</v>
      </c>
      <c r="H72">
        <v>62</v>
      </c>
      <c r="I72" t="str">
        <f>IFERROR(VLOOKUP(C72, merchants!$A$2:$D$41, 2, FALSE), "Merchant not found")</f>
        <v>Merchant_012</v>
      </c>
      <c r="J72" t="str">
        <f>IFERROR(VLOOKUP(C72, merchants!$A$2:$D$41, 3, FALSE), "Merchant not found")</f>
        <v>ecommerce</v>
      </c>
      <c r="K72" t="str">
        <f>IFERROR(VLOOKUP(C72, merchants!$A$2:$D$41, 4, FALSE), "Merchant not found")</f>
        <v>East</v>
      </c>
      <c r="L72" s="2">
        <f>HLOOKUP(F72, merchants!$F$1:$I$2, 2, FALSE)</f>
        <v>1.4999999999999999E-2</v>
      </c>
      <c r="M72" t="str">
        <f t="shared" si="2"/>
        <v>Regular</v>
      </c>
      <c r="N72" s="5">
        <f t="shared" si="3"/>
        <v>46023</v>
      </c>
    </row>
    <row r="73" spans="1:14" x14ac:dyDescent="0.3">
      <c r="A73" t="s">
        <v>86</v>
      </c>
      <c r="B73">
        <v>133</v>
      </c>
      <c r="C73">
        <v>22</v>
      </c>
      <c r="D73" s="1">
        <v>46029.493750000001</v>
      </c>
      <c r="E73">
        <v>499</v>
      </c>
      <c r="F73" t="s">
        <v>12</v>
      </c>
      <c r="G73" t="s">
        <v>10</v>
      </c>
      <c r="H73">
        <v>35</v>
      </c>
      <c r="I73" t="str">
        <f>IFERROR(VLOOKUP(C73, merchants!$A$2:$D$41, 2, FALSE), "Merchant not found")</f>
        <v>Merchant_022</v>
      </c>
      <c r="J73" t="str">
        <f>IFERROR(VLOOKUP(C73, merchants!$A$2:$D$41, 3, FALSE), "Merchant not found")</f>
        <v>travel</v>
      </c>
      <c r="K73" t="str">
        <f>IFERROR(VLOOKUP(C73, merchants!$A$2:$D$41, 4, FALSE), "Merchant not found")</f>
        <v>South</v>
      </c>
      <c r="L73" s="2">
        <f>HLOOKUP(F73, merchants!$F$1:$I$2, 2, FALSE)</f>
        <v>0</v>
      </c>
      <c r="M73" t="str">
        <f t="shared" si="2"/>
        <v>Regular</v>
      </c>
      <c r="N73" s="5">
        <f t="shared" si="3"/>
        <v>46029</v>
      </c>
    </row>
    <row r="74" spans="1:14" x14ac:dyDescent="0.3">
      <c r="A74" t="s">
        <v>87</v>
      </c>
      <c r="B74">
        <v>142</v>
      </c>
      <c r="C74">
        <v>36</v>
      </c>
      <c r="D74" s="1">
        <v>46051.822222222225</v>
      </c>
      <c r="E74">
        <v>799</v>
      </c>
      <c r="F74" t="s">
        <v>9</v>
      </c>
      <c r="G74" t="s">
        <v>10</v>
      </c>
      <c r="H74">
        <v>1</v>
      </c>
      <c r="I74" t="str">
        <f>IFERROR(VLOOKUP(C74, merchants!$A$2:$D$41, 2, FALSE), "Merchant not found")</f>
        <v>Merchant_036</v>
      </c>
      <c r="J74" t="str">
        <f>IFERROR(VLOOKUP(C74, merchants!$A$2:$D$41, 3, FALSE), "Merchant not found")</f>
        <v>entertainment</v>
      </c>
      <c r="K74" t="str">
        <f>IFERROR(VLOOKUP(C74, merchants!$A$2:$D$41, 4, FALSE), "Merchant not found")</f>
        <v>East</v>
      </c>
      <c r="L74" s="2">
        <f>HLOOKUP(F74, merchants!$F$1:$I$2, 2, FALSE)</f>
        <v>1.4999999999999999E-2</v>
      </c>
      <c r="M74" t="str">
        <f t="shared" si="2"/>
        <v>Regular</v>
      </c>
      <c r="N74" s="5">
        <f t="shared" si="3"/>
        <v>46051</v>
      </c>
    </row>
    <row r="75" spans="1:14" x14ac:dyDescent="0.3">
      <c r="A75" t="s">
        <v>88</v>
      </c>
      <c r="B75">
        <v>124</v>
      </c>
      <c r="C75">
        <v>27</v>
      </c>
      <c r="D75" s="1">
        <v>46039.253472222219</v>
      </c>
      <c r="E75">
        <v>499</v>
      </c>
      <c r="F75" t="s">
        <v>9</v>
      </c>
      <c r="G75" t="s">
        <v>10</v>
      </c>
      <c r="H75">
        <v>62</v>
      </c>
      <c r="I75" t="str">
        <f>IFERROR(VLOOKUP(C75, merchants!$A$2:$D$41, 2, FALSE), "Merchant not found")</f>
        <v>Merchant_027</v>
      </c>
      <c r="J75" t="str">
        <f>IFERROR(VLOOKUP(C75, merchants!$A$2:$D$41, 3, FALSE), "Merchant not found")</f>
        <v>ecommerce</v>
      </c>
      <c r="K75" t="str">
        <f>IFERROR(VLOOKUP(C75, merchants!$A$2:$D$41, 4, FALSE), "Merchant not found")</f>
        <v>North</v>
      </c>
      <c r="L75" s="2">
        <f>HLOOKUP(F75, merchants!$F$1:$I$2, 2, FALSE)</f>
        <v>1.4999999999999999E-2</v>
      </c>
      <c r="M75" t="str">
        <f t="shared" si="2"/>
        <v>Regular</v>
      </c>
      <c r="N75" s="5">
        <f t="shared" si="3"/>
        <v>46039</v>
      </c>
    </row>
    <row r="76" spans="1:14" x14ac:dyDescent="0.3">
      <c r="A76" t="s">
        <v>89</v>
      </c>
      <c r="B76">
        <v>244</v>
      </c>
      <c r="C76">
        <v>32</v>
      </c>
      <c r="D76" s="1">
        <v>46040.322222222225</v>
      </c>
      <c r="E76">
        <v>149</v>
      </c>
      <c r="F76" t="s">
        <v>12</v>
      </c>
      <c r="G76" t="s">
        <v>10</v>
      </c>
      <c r="H76">
        <v>57</v>
      </c>
      <c r="I76" t="str">
        <f>IFERROR(VLOOKUP(C76, merchants!$A$2:$D$41, 2, FALSE), "Merchant not found")</f>
        <v>Merchant_032</v>
      </c>
      <c r="J76" t="str">
        <f>IFERROR(VLOOKUP(C76, merchants!$A$2:$D$41, 3, FALSE), "Merchant not found")</f>
        <v>food_delivery</v>
      </c>
      <c r="K76" t="str">
        <f>IFERROR(VLOOKUP(C76, merchants!$A$2:$D$41, 4, FALSE), "Merchant not found")</f>
        <v>West</v>
      </c>
      <c r="L76" s="2">
        <f>HLOOKUP(F76, merchants!$F$1:$I$2, 2, FALSE)</f>
        <v>0</v>
      </c>
      <c r="M76" t="str">
        <f t="shared" si="2"/>
        <v>Regular</v>
      </c>
      <c r="N76" s="5">
        <f t="shared" si="3"/>
        <v>46040</v>
      </c>
    </row>
    <row r="77" spans="1:14" x14ac:dyDescent="0.3">
      <c r="A77" t="s">
        <v>90</v>
      </c>
      <c r="B77">
        <v>151</v>
      </c>
      <c r="C77">
        <v>15</v>
      </c>
      <c r="D77" s="1">
        <v>46048.003472222219</v>
      </c>
      <c r="E77">
        <v>4999</v>
      </c>
      <c r="F77" t="s">
        <v>12</v>
      </c>
      <c r="G77" t="s">
        <v>10</v>
      </c>
      <c r="H77">
        <v>51</v>
      </c>
      <c r="I77" t="str">
        <f>IFERROR(VLOOKUP(C77, merchants!$A$2:$D$41, 2, FALSE), "Merchant not found")</f>
        <v>Merchant_015</v>
      </c>
      <c r="J77" t="str">
        <f>IFERROR(VLOOKUP(C77, merchants!$A$2:$D$41, 3, FALSE), "Merchant not found")</f>
        <v>travel</v>
      </c>
      <c r="K77" t="str">
        <f>IFERROR(VLOOKUP(C77, merchants!$A$2:$D$41, 4, FALSE), "Merchant not found")</f>
        <v>North</v>
      </c>
      <c r="L77" s="2">
        <f>HLOOKUP(F77, merchants!$F$1:$I$2, 2, FALSE)</f>
        <v>0</v>
      </c>
      <c r="M77" t="str">
        <f t="shared" si="2"/>
        <v>Regular</v>
      </c>
      <c r="N77" s="5">
        <f t="shared" si="3"/>
        <v>46048</v>
      </c>
    </row>
    <row r="78" spans="1:14" x14ac:dyDescent="0.3">
      <c r="A78" t="s">
        <v>91</v>
      </c>
      <c r="B78">
        <v>340</v>
      </c>
      <c r="C78">
        <v>38</v>
      </c>
      <c r="D78" s="1">
        <v>46045.304861111108</v>
      </c>
      <c r="E78">
        <v>499</v>
      </c>
      <c r="F78" t="s">
        <v>24</v>
      </c>
      <c r="G78" t="s">
        <v>10</v>
      </c>
      <c r="H78">
        <v>47</v>
      </c>
      <c r="I78" t="str">
        <f>IFERROR(VLOOKUP(C78, merchants!$A$2:$D$41, 2, FALSE), "Merchant not found")</f>
        <v>Merchant_038</v>
      </c>
      <c r="J78" t="str">
        <f>IFERROR(VLOOKUP(C78, merchants!$A$2:$D$41, 3, FALSE), "Merchant not found")</f>
        <v>grocery</v>
      </c>
      <c r="K78" t="str">
        <f>IFERROR(VLOOKUP(C78, merchants!$A$2:$D$41, 4, FALSE), "Merchant not found")</f>
        <v>East</v>
      </c>
      <c r="L78" s="2">
        <f>HLOOKUP(F78, merchants!$F$1:$I$2, 2, FALSE)</f>
        <v>0.02</v>
      </c>
      <c r="M78" t="str">
        <f t="shared" si="2"/>
        <v>Regular</v>
      </c>
      <c r="N78" s="5">
        <f t="shared" si="3"/>
        <v>46045</v>
      </c>
    </row>
    <row r="79" spans="1:14" x14ac:dyDescent="0.3">
      <c r="A79" t="s">
        <v>92</v>
      </c>
      <c r="B79">
        <v>177</v>
      </c>
      <c r="C79">
        <v>28</v>
      </c>
      <c r="D79" s="1">
        <v>46038.731249999997</v>
      </c>
      <c r="E79">
        <v>299</v>
      </c>
      <c r="F79" t="s">
        <v>12</v>
      </c>
      <c r="G79" t="s">
        <v>10</v>
      </c>
      <c r="H79">
        <v>95</v>
      </c>
      <c r="I79" t="str">
        <f>IFERROR(VLOOKUP(C79, merchants!$A$2:$D$41, 2, FALSE), "Merchant not found")</f>
        <v>Merchant_028</v>
      </c>
      <c r="J79" t="str">
        <f>IFERROR(VLOOKUP(C79, merchants!$A$2:$D$41, 3, FALSE), "Merchant not found")</f>
        <v>ecommerce</v>
      </c>
      <c r="K79" t="str">
        <f>IFERROR(VLOOKUP(C79, merchants!$A$2:$D$41, 4, FALSE), "Merchant not found")</f>
        <v>South</v>
      </c>
      <c r="L79" s="2">
        <f>HLOOKUP(F79, merchants!$F$1:$I$2, 2, FALSE)</f>
        <v>0</v>
      </c>
      <c r="M79" t="str">
        <f t="shared" si="2"/>
        <v>Regular</v>
      </c>
      <c r="N79" s="5">
        <f t="shared" si="3"/>
        <v>46038</v>
      </c>
    </row>
    <row r="80" spans="1:14" x14ac:dyDescent="0.3">
      <c r="A80" t="s">
        <v>93</v>
      </c>
      <c r="B80">
        <v>233</v>
      </c>
      <c r="C80">
        <v>18</v>
      </c>
      <c r="D80" s="1">
        <v>46040.431944444441</v>
      </c>
      <c r="E80">
        <v>499</v>
      </c>
      <c r="F80" t="s">
        <v>12</v>
      </c>
      <c r="G80" t="s">
        <v>10</v>
      </c>
      <c r="H80">
        <v>39</v>
      </c>
      <c r="I80" t="str">
        <f>IFERROR(VLOOKUP(C80, merchants!$A$2:$D$41, 2, FALSE), "Merchant not found")</f>
        <v>Merchant_018</v>
      </c>
      <c r="J80" t="str">
        <f>IFERROR(VLOOKUP(C80, merchants!$A$2:$D$41, 3, FALSE), "Merchant not found")</f>
        <v>grocery</v>
      </c>
      <c r="K80" t="str">
        <f>IFERROR(VLOOKUP(C80, merchants!$A$2:$D$41, 4, FALSE), "Merchant not found")</f>
        <v>West</v>
      </c>
      <c r="L80" s="2">
        <f>HLOOKUP(F80, merchants!$F$1:$I$2, 2, FALSE)</f>
        <v>0</v>
      </c>
      <c r="M80" t="str">
        <f t="shared" si="2"/>
        <v>Regular</v>
      </c>
      <c r="N80" s="5">
        <f t="shared" si="3"/>
        <v>46040</v>
      </c>
    </row>
    <row r="81" spans="1:14" x14ac:dyDescent="0.3">
      <c r="A81" t="s">
        <v>94</v>
      </c>
      <c r="B81">
        <v>99</v>
      </c>
      <c r="C81">
        <v>21</v>
      </c>
      <c r="D81" s="1">
        <v>46031.296527777777</v>
      </c>
      <c r="E81">
        <v>499</v>
      </c>
      <c r="F81" t="s">
        <v>12</v>
      </c>
      <c r="G81" t="s">
        <v>10</v>
      </c>
      <c r="H81">
        <v>15</v>
      </c>
      <c r="I81" t="str">
        <f>IFERROR(VLOOKUP(C81, merchants!$A$2:$D$41, 2, FALSE), "Merchant not found")</f>
        <v>Merchant_021</v>
      </c>
      <c r="J81" t="str">
        <f>IFERROR(VLOOKUP(C81, merchants!$A$2:$D$41, 3, FALSE), "Merchant not found")</f>
        <v>food_delivery</v>
      </c>
      <c r="K81" t="str">
        <f>IFERROR(VLOOKUP(C81, merchants!$A$2:$D$41, 4, FALSE), "Merchant not found")</f>
        <v>East</v>
      </c>
      <c r="L81" s="2">
        <f>HLOOKUP(F81, merchants!$F$1:$I$2, 2, FALSE)</f>
        <v>0</v>
      </c>
      <c r="M81" t="str">
        <f t="shared" si="2"/>
        <v>Regular</v>
      </c>
      <c r="N81" s="5">
        <f t="shared" si="3"/>
        <v>46031</v>
      </c>
    </row>
    <row r="82" spans="1:14" x14ac:dyDescent="0.3">
      <c r="A82" t="s">
        <v>95</v>
      </c>
      <c r="B82">
        <v>95</v>
      </c>
      <c r="C82">
        <v>13</v>
      </c>
      <c r="D82" s="1">
        <v>46046.741666666669</v>
      </c>
      <c r="E82">
        <v>2999</v>
      </c>
      <c r="F82" t="s">
        <v>15</v>
      </c>
      <c r="G82" t="s">
        <v>25</v>
      </c>
      <c r="H82">
        <v>27</v>
      </c>
      <c r="I82" t="str">
        <f>IFERROR(VLOOKUP(C82, merchants!$A$2:$D$41, 2, FALSE), "Merchant not found")</f>
        <v>Merchant_013</v>
      </c>
      <c r="J82" t="str">
        <f>IFERROR(VLOOKUP(C82, merchants!$A$2:$D$41, 3, FALSE), "Merchant not found")</f>
        <v>travel</v>
      </c>
      <c r="K82" t="str">
        <f>IFERROR(VLOOKUP(C82, merchants!$A$2:$D$41, 4, FALSE), "Merchant not found")</f>
        <v>East</v>
      </c>
      <c r="L82" s="2">
        <f>HLOOKUP(F82, merchants!$F$1:$I$2, 2, FALSE)</f>
        <v>1.7999999999999999E-2</v>
      </c>
      <c r="M82" t="str">
        <f t="shared" si="2"/>
        <v>Regular</v>
      </c>
      <c r="N82" s="5">
        <f t="shared" si="3"/>
        <v>46046</v>
      </c>
    </row>
    <row r="83" spans="1:14" x14ac:dyDescent="0.3">
      <c r="A83" t="s">
        <v>96</v>
      </c>
      <c r="B83">
        <v>302</v>
      </c>
      <c r="C83">
        <v>34</v>
      </c>
      <c r="D83" s="1">
        <v>46046.636805555558</v>
      </c>
      <c r="E83">
        <v>49</v>
      </c>
      <c r="F83" t="s">
        <v>15</v>
      </c>
      <c r="G83" t="s">
        <v>10</v>
      </c>
      <c r="H83">
        <v>76</v>
      </c>
      <c r="I83" t="str">
        <f>IFERROR(VLOOKUP(C83, merchants!$A$2:$D$41, 2, FALSE), "Merchant not found")</f>
        <v>Merchant_034</v>
      </c>
      <c r="J83" t="str">
        <f>IFERROR(VLOOKUP(C83, merchants!$A$2:$D$41, 3, FALSE), "Merchant not found")</f>
        <v>travel</v>
      </c>
      <c r="K83" t="str">
        <f>IFERROR(VLOOKUP(C83, merchants!$A$2:$D$41, 4, FALSE), "Merchant not found")</f>
        <v>South</v>
      </c>
      <c r="L83" s="2">
        <f>HLOOKUP(F83, merchants!$F$1:$I$2, 2, FALSE)</f>
        <v>1.7999999999999999E-2</v>
      </c>
      <c r="M83" t="str">
        <f t="shared" si="2"/>
        <v>Regular</v>
      </c>
      <c r="N83" s="5">
        <f t="shared" si="3"/>
        <v>46046</v>
      </c>
    </row>
    <row r="84" spans="1:14" x14ac:dyDescent="0.3">
      <c r="A84" t="s">
        <v>97</v>
      </c>
      <c r="B84">
        <v>100</v>
      </c>
      <c r="C84">
        <v>19</v>
      </c>
      <c r="D84" s="1">
        <v>46032.161805555559</v>
      </c>
      <c r="E84">
        <v>2999</v>
      </c>
      <c r="F84" t="s">
        <v>15</v>
      </c>
      <c r="G84" t="s">
        <v>10</v>
      </c>
      <c r="H84">
        <v>29</v>
      </c>
      <c r="I84" t="str">
        <f>IFERROR(VLOOKUP(C84, merchants!$A$2:$D$41, 2, FALSE), "Merchant not found")</f>
        <v>Merchant_019</v>
      </c>
      <c r="J84" t="str">
        <f>IFERROR(VLOOKUP(C84, merchants!$A$2:$D$41, 3, FALSE), "Merchant not found")</f>
        <v>grocery</v>
      </c>
      <c r="K84" t="str">
        <f>IFERROR(VLOOKUP(C84, merchants!$A$2:$D$41, 4, FALSE), "Merchant not found")</f>
        <v>North</v>
      </c>
      <c r="L84" s="2">
        <f>HLOOKUP(F84, merchants!$F$1:$I$2, 2, FALSE)</f>
        <v>1.7999999999999999E-2</v>
      </c>
      <c r="M84" t="str">
        <f t="shared" si="2"/>
        <v>Regular</v>
      </c>
      <c r="N84" s="5">
        <f t="shared" si="3"/>
        <v>46032</v>
      </c>
    </row>
    <row r="85" spans="1:14" x14ac:dyDescent="0.3">
      <c r="A85" t="s">
        <v>98</v>
      </c>
      <c r="B85">
        <v>8</v>
      </c>
      <c r="C85">
        <v>35</v>
      </c>
      <c r="D85" s="1">
        <v>46034.22152777778</v>
      </c>
      <c r="E85">
        <v>99</v>
      </c>
      <c r="F85" t="s">
        <v>12</v>
      </c>
      <c r="G85" t="s">
        <v>10</v>
      </c>
      <c r="H85">
        <v>16</v>
      </c>
      <c r="I85" t="str">
        <f>IFERROR(VLOOKUP(C85, merchants!$A$2:$D$41, 2, FALSE), "Merchant not found")</f>
        <v>Merchant_035</v>
      </c>
      <c r="J85" t="str">
        <f>IFERROR(VLOOKUP(C85, merchants!$A$2:$D$41, 3, FALSE), "Merchant not found")</f>
        <v>recharge</v>
      </c>
      <c r="K85" t="str">
        <f>IFERROR(VLOOKUP(C85, merchants!$A$2:$D$41, 4, FALSE), "Merchant not found")</f>
        <v>East</v>
      </c>
      <c r="L85" s="2">
        <f>HLOOKUP(F85, merchants!$F$1:$I$2, 2, FALSE)</f>
        <v>0</v>
      </c>
      <c r="M85" t="str">
        <f t="shared" si="2"/>
        <v>Regular</v>
      </c>
      <c r="N85" s="5">
        <f t="shared" si="3"/>
        <v>46034</v>
      </c>
    </row>
    <row r="86" spans="1:14" x14ac:dyDescent="0.3">
      <c r="A86" t="s">
        <v>99</v>
      </c>
      <c r="B86">
        <v>284</v>
      </c>
      <c r="C86">
        <v>19</v>
      </c>
      <c r="D86" s="1">
        <v>46031.043749999997</v>
      </c>
      <c r="E86">
        <v>99</v>
      </c>
      <c r="F86" t="s">
        <v>12</v>
      </c>
      <c r="G86" t="s">
        <v>10</v>
      </c>
      <c r="H86">
        <v>89</v>
      </c>
      <c r="I86" t="str">
        <f>IFERROR(VLOOKUP(C86, merchants!$A$2:$D$41, 2, FALSE), "Merchant not found")</f>
        <v>Merchant_019</v>
      </c>
      <c r="J86" t="str">
        <f>IFERROR(VLOOKUP(C86, merchants!$A$2:$D$41, 3, FALSE), "Merchant not found")</f>
        <v>grocery</v>
      </c>
      <c r="K86" t="str">
        <f>IFERROR(VLOOKUP(C86, merchants!$A$2:$D$41, 4, FALSE), "Merchant not found")</f>
        <v>North</v>
      </c>
      <c r="L86" s="2">
        <f>HLOOKUP(F86, merchants!$F$1:$I$2, 2, FALSE)</f>
        <v>0</v>
      </c>
      <c r="M86" t="str">
        <f t="shared" si="2"/>
        <v>Regular</v>
      </c>
      <c r="N86" s="5">
        <f t="shared" si="3"/>
        <v>46031</v>
      </c>
    </row>
    <row r="87" spans="1:14" x14ac:dyDescent="0.3">
      <c r="A87" t="s">
        <v>100</v>
      </c>
      <c r="B87">
        <v>252</v>
      </c>
      <c r="C87">
        <v>7</v>
      </c>
      <c r="D87" s="1">
        <v>46027.871527777781</v>
      </c>
      <c r="E87">
        <v>2999</v>
      </c>
      <c r="F87" t="s">
        <v>9</v>
      </c>
      <c r="G87" t="s">
        <v>10</v>
      </c>
      <c r="H87">
        <v>1</v>
      </c>
      <c r="I87" t="str">
        <f>IFERROR(VLOOKUP(C87, merchants!$A$2:$D$41, 2, FALSE), "Merchant not found")</f>
        <v>Merchant_007</v>
      </c>
      <c r="J87" t="str">
        <f>IFERROR(VLOOKUP(C87, merchants!$A$2:$D$41, 3, FALSE), "Merchant not found")</f>
        <v>food_delivery</v>
      </c>
      <c r="K87" t="str">
        <f>IFERROR(VLOOKUP(C87, merchants!$A$2:$D$41, 4, FALSE), "Merchant not found")</f>
        <v>East</v>
      </c>
      <c r="L87" s="2">
        <f>HLOOKUP(F87, merchants!$F$1:$I$2, 2, FALSE)</f>
        <v>1.4999999999999999E-2</v>
      </c>
      <c r="M87" t="str">
        <f t="shared" si="2"/>
        <v>Regular</v>
      </c>
      <c r="N87" s="5">
        <f t="shared" si="3"/>
        <v>46027</v>
      </c>
    </row>
    <row r="88" spans="1:14" x14ac:dyDescent="0.3">
      <c r="A88" t="s">
        <v>101</v>
      </c>
      <c r="B88">
        <v>246</v>
      </c>
      <c r="C88">
        <v>29</v>
      </c>
      <c r="D88" s="1">
        <v>46041.395833333336</v>
      </c>
      <c r="E88">
        <v>49</v>
      </c>
      <c r="F88" t="s">
        <v>9</v>
      </c>
      <c r="G88" t="s">
        <v>10</v>
      </c>
      <c r="H88">
        <v>43</v>
      </c>
      <c r="I88" t="str">
        <f>IFERROR(VLOOKUP(C88, merchants!$A$2:$D$41, 2, FALSE), "Merchant not found")</f>
        <v>Merchant_029</v>
      </c>
      <c r="J88" t="str">
        <f>IFERROR(VLOOKUP(C88, merchants!$A$2:$D$41, 3, FALSE), "Merchant not found")</f>
        <v>ecommerce</v>
      </c>
      <c r="K88" t="str">
        <f>IFERROR(VLOOKUP(C88, merchants!$A$2:$D$41, 4, FALSE), "Merchant not found")</f>
        <v>North</v>
      </c>
      <c r="L88" s="2">
        <f>HLOOKUP(F88, merchants!$F$1:$I$2, 2, FALSE)</f>
        <v>1.4999999999999999E-2</v>
      </c>
      <c r="M88" t="str">
        <f t="shared" si="2"/>
        <v>Regular</v>
      </c>
      <c r="N88" s="5">
        <f t="shared" si="3"/>
        <v>46041</v>
      </c>
    </row>
    <row r="89" spans="1:14" x14ac:dyDescent="0.3">
      <c r="A89" t="s">
        <v>102</v>
      </c>
      <c r="B89">
        <v>245</v>
      </c>
      <c r="C89">
        <v>8</v>
      </c>
      <c r="D89" s="1">
        <v>46028.052777777775</v>
      </c>
      <c r="E89">
        <v>49</v>
      </c>
      <c r="F89" t="s">
        <v>12</v>
      </c>
      <c r="G89" t="s">
        <v>38</v>
      </c>
      <c r="H89">
        <v>8</v>
      </c>
      <c r="I89" t="str">
        <f>IFERROR(VLOOKUP(C89, merchants!$A$2:$D$41, 2, FALSE), "Merchant not found")</f>
        <v>Merchant_008</v>
      </c>
      <c r="J89" t="str">
        <f>IFERROR(VLOOKUP(C89, merchants!$A$2:$D$41, 3, FALSE), "Merchant not found")</f>
        <v>food_delivery</v>
      </c>
      <c r="K89" t="str">
        <f>IFERROR(VLOOKUP(C89, merchants!$A$2:$D$41, 4, FALSE), "Merchant not found")</f>
        <v>North</v>
      </c>
      <c r="L89" s="2">
        <f>HLOOKUP(F89, merchants!$F$1:$I$2, 2, FALSE)</f>
        <v>0</v>
      </c>
      <c r="M89" t="str">
        <f t="shared" si="2"/>
        <v>Regular</v>
      </c>
      <c r="N89" s="5">
        <f t="shared" si="3"/>
        <v>46028</v>
      </c>
    </row>
    <row r="90" spans="1:14" x14ac:dyDescent="0.3">
      <c r="A90" t="s">
        <v>103</v>
      </c>
      <c r="B90">
        <v>296</v>
      </c>
      <c r="C90">
        <v>4</v>
      </c>
      <c r="D90" s="1">
        <v>46035.62777777778</v>
      </c>
      <c r="E90">
        <v>799</v>
      </c>
      <c r="F90" t="s">
        <v>9</v>
      </c>
      <c r="G90" t="s">
        <v>10</v>
      </c>
      <c r="H90">
        <v>19</v>
      </c>
      <c r="I90" t="str">
        <f>IFERROR(VLOOKUP(C90, merchants!$A$2:$D$41, 2, FALSE), "Merchant not found")</f>
        <v>Merchant_004</v>
      </c>
      <c r="J90" t="str">
        <f>IFERROR(VLOOKUP(C90, merchants!$A$2:$D$41, 3, FALSE), "Merchant not found")</f>
        <v>ecommerce</v>
      </c>
      <c r="K90" t="str">
        <f>IFERROR(VLOOKUP(C90, merchants!$A$2:$D$41, 4, FALSE), "Merchant not found")</f>
        <v>East</v>
      </c>
      <c r="L90" s="2">
        <f>HLOOKUP(F90, merchants!$F$1:$I$2, 2, FALSE)</f>
        <v>1.4999999999999999E-2</v>
      </c>
      <c r="M90" t="str">
        <f t="shared" si="2"/>
        <v>Regular</v>
      </c>
      <c r="N90" s="5">
        <f t="shared" si="3"/>
        <v>46035</v>
      </c>
    </row>
    <row r="91" spans="1:14" x14ac:dyDescent="0.3">
      <c r="A91" t="s">
        <v>104</v>
      </c>
      <c r="B91">
        <v>44</v>
      </c>
      <c r="C91">
        <v>16</v>
      </c>
      <c r="D91" s="1">
        <v>46027.763194444444</v>
      </c>
      <c r="E91">
        <v>149</v>
      </c>
      <c r="F91" t="s">
        <v>12</v>
      </c>
      <c r="G91" t="s">
        <v>10</v>
      </c>
      <c r="H91">
        <v>15</v>
      </c>
      <c r="I91" t="str">
        <f>IFERROR(VLOOKUP(C91, merchants!$A$2:$D$41, 2, FALSE), "Merchant not found")</f>
        <v>Merchant_016</v>
      </c>
      <c r="J91" t="str">
        <f>IFERROR(VLOOKUP(C91, merchants!$A$2:$D$41, 3, FALSE), "Merchant not found")</f>
        <v>bill_payment</v>
      </c>
      <c r="K91" t="str">
        <f>IFERROR(VLOOKUP(C91, merchants!$A$2:$D$41, 4, FALSE), "Merchant not found")</f>
        <v>West</v>
      </c>
      <c r="L91" s="2">
        <f>HLOOKUP(F91, merchants!$F$1:$I$2, 2, FALSE)</f>
        <v>0</v>
      </c>
      <c r="M91" t="str">
        <f t="shared" si="2"/>
        <v>Regular</v>
      </c>
      <c r="N91" s="5">
        <f t="shared" si="3"/>
        <v>46027</v>
      </c>
    </row>
    <row r="92" spans="1:14" x14ac:dyDescent="0.3">
      <c r="A92" t="s">
        <v>105</v>
      </c>
      <c r="B92">
        <v>306</v>
      </c>
      <c r="C92">
        <v>40</v>
      </c>
      <c r="D92" s="1">
        <v>46040.568055555559</v>
      </c>
      <c r="E92">
        <v>799</v>
      </c>
      <c r="F92" t="s">
        <v>24</v>
      </c>
      <c r="G92" t="s">
        <v>10</v>
      </c>
      <c r="H92">
        <v>28</v>
      </c>
      <c r="I92" t="str">
        <f>IFERROR(VLOOKUP(C92, merchants!$A$2:$D$41, 2, FALSE), "Merchant not found")</f>
        <v>Merchant_040</v>
      </c>
      <c r="J92" t="str">
        <f>IFERROR(VLOOKUP(C92, merchants!$A$2:$D$41, 3, FALSE), "Merchant not found")</f>
        <v>entertainment</v>
      </c>
      <c r="K92" t="str">
        <f>IFERROR(VLOOKUP(C92, merchants!$A$2:$D$41, 4, FALSE), "Merchant not found")</f>
        <v>South</v>
      </c>
      <c r="L92" s="2">
        <f>HLOOKUP(F92, merchants!$F$1:$I$2, 2, FALSE)</f>
        <v>0.02</v>
      </c>
      <c r="M92" t="str">
        <f t="shared" si="2"/>
        <v>Regular</v>
      </c>
      <c r="N92" s="5">
        <f t="shared" si="3"/>
        <v>46040</v>
      </c>
    </row>
    <row r="93" spans="1:14" x14ac:dyDescent="0.3">
      <c r="A93" t="s">
        <v>106</v>
      </c>
      <c r="B93">
        <v>231</v>
      </c>
      <c r="C93">
        <v>29</v>
      </c>
      <c r="D93" s="1">
        <v>46047.683333333334</v>
      </c>
      <c r="E93">
        <v>299</v>
      </c>
      <c r="F93" t="s">
        <v>12</v>
      </c>
      <c r="G93" t="s">
        <v>10</v>
      </c>
      <c r="H93">
        <v>38</v>
      </c>
      <c r="I93" t="str">
        <f>IFERROR(VLOOKUP(C93, merchants!$A$2:$D$41, 2, FALSE), "Merchant not found")</f>
        <v>Merchant_029</v>
      </c>
      <c r="J93" t="str">
        <f>IFERROR(VLOOKUP(C93, merchants!$A$2:$D$41, 3, FALSE), "Merchant not found")</f>
        <v>ecommerce</v>
      </c>
      <c r="K93" t="str">
        <f>IFERROR(VLOOKUP(C93, merchants!$A$2:$D$41, 4, FALSE), "Merchant not found")</f>
        <v>North</v>
      </c>
      <c r="L93" s="2">
        <f>HLOOKUP(F93, merchants!$F$1:$I$2, 2, FALSE)</f>
        <v>0</v>
      </c>
      <c r="M93" t="str">
        <f t="shared" si="2"/>
        <v>Regular</v>
      </c>
      <c r="N93" s="5">
        <f t="shared" si="3"/>
        <v>46047</v>
      </c>
    </row>
    <row r="94" spans="1:14" x14ac:dyDescent="0.3">
      <c r="A94" t="s">
        <v>107</v>
      </c>
      <c r="B94">
        <v>157</v>
      </c>
      <c r="C94">
        <v>37</v>
      </c>
      <c r="D94" s="1">
        <v>46050.768750000003</v>
      </c>
      <c r="E94">
        <v>499</v>
      </c>
      <c r="F94" t="s">
        <v>9</v>
      </c>
      <c r="G94" t="s">
        <v>10</v>
      </c>
      <c r="H94">
        <v>79</v>
      </c>
      <c r="I94" t="str">
        <f>IFERROR(VLOOKUP(C94, merchants!$A$2:$D$41, 2, FALSE), "Merchant not found")</f>
        <v>Merchant_037</v>
      </c>
      <c r="J94" t="str">
        <f>IFERROR(VLOOKUP(C94, merchants!$A$2:$D$41, 3, FALSE), "Merchant not found")</f>
        <v>entertainment</v>
      </c>
      <c r="K94" t="str">
        <f>IFERROR(VLOOKUP(C94, merchants!$A$2:$D$41, 4, FALSE), "Merchant not found")</f>
        <v>South</v>
      </c>
      <c r="L94" s="2">
        <f>HLOOKUP(F94, merchants!$F$1:$I$2, 2, FALSE)</f>
        <v>1.4999999999999999E-2</v>
      </c>
      <c r="M94" t="str">
        <f t="shared" si="2"/>
        <v>Regular</v>
      </c>
      <c r="N94" s="5">
        <f t="shared" si="3"/>
        <v>46050</v>
      </c>
    </row>
    <row r="95" spans="1:14" x14ac:dyDescent="0.3">
      <c r="A95" t="s">
        <v>108</v>
      </c>
      <c r="B95">
        <v>51</v>
      </c>
      <c r="C95">
        <v>14</v>
      </c>
      <c r="D95" s="1">
        <v>46024.824305555558</v>
      </c>
      <c r="E95">
        <v>1499</v>
      </c>
      <c r="F95" t="s">
        <v>12</v>
      </c>
      <c r="G95" t="s">
        <v>10</v>
      </c>
      <c r="H95">
        <v>80</v>
      </c>
      <c r="I95" t="str">
        <f>IFERROR(VLOOKUP(C95, merchants!$A$2:$D$41, 2, FALSE), "Merchant not found")</f>
        <v>Merchant_014</v>
      </c>
      <c r="J95" t="str">
        <f>IFERROR(VLOOKUP(C95, merchants!$A$2:$D$41, 3, FALSE), "Merchant not found")</f>
        <v>grocery</v>
      </c>
      <c r="K95" t="str">
        <f>IFERROR(VLOOKUP(C95, merchants!$A$2:$D$41, 4, FALSE), "Merchant not found")</f>
        <v>East</v>
      </c>
      <c r="L95" s="2">
        <f>HLOOKUP(F95, merchants!$F$1:$I$2, 2, FALSE)</f>
        <v>0</v>
      </c>
      <c r="M95" t="str">
        <f t="shared" si="2"/>
        <v>Regular</v>
      </c>
      <c r="N95" s="5">
        <f t="shared" si="3"/>
        <v>46024</v>
      </c>
    </row>
    <row r="96" spans="1:14" x14ac:dyDescent="0.3">
      <c r="A96" t="s">
        <v>109</v>
      </c>
      <c r="B96">
        <v>42</v>
      </c>
      <c r="C96">
        <v>11</v>
      </c>
      <c r="D96" s="1">
        <v>46029.362500000003</v>
      </c>
      <c r="E96">
        <v>49</v>
      </c>
      <c r="F96" t="s">
        <v>9</v>
      </c>
      <c r="G96" t="s">
        <v>10</v>
      </c>
      <c r="H96">
        <v>30</v>
      </c>
      <c r="I96" t="str">
        <f>IFERROR(VLOOKUP(C96, merchants!$A$2:$D$41, 2, FALSE), "Merchant not found")</f>
        <v>Merchant_011</v>
      </c>
      <c r="J96" t="str">
        <f>IFERROR(VLOOKUP(C96, merchants!$A$2:$D$41, 3, FALSE), "Merchant not found")</f>
        <v>ecommerce</v>
      </c>
      <c r="K96" t="str">
        <f>IFERROR(VLOOKUP(C96, merchants!$A$2:$D$41, 4, FALSE), "Merchant not found")</f>
        <v>North</v>
      </c>
      <c r="L96" s="2">
        <f>HLOOKUP(F96, merchants!$F$1:$I$2, 2, FALSE)</f>
        <v>1.4999999999999999E-2</v>
      </c>
      <c r="M96" t="str">
        <f t="shared" si="2"/>
        <v>Regular</v>
      </c>
      <c r="N96" s="5">
        <f t="shared" si="3"/>
        <v>46029</v>
      </c>
    </row>
    <row r="97" spans="1:14" x14ac:dyDescent="0.3">
      <c r="A97" t="s">
        <v>110</v>
      </c>
      <c r="B97">
        <v>81</v>
      </c>
      <c r="C97">
        <v>1</v>
      </c>
      <c r="D97" s="1">
        <v>46028.711111111108</v>
      </c>
      <c r="E97">
        <v>149</v>
      </c>
      <c r="F97" t="s">
        <v>12</v>
      </c>
      <c r="G97" t="s">
        <v>10</v>
      </c>
      <c r="H97">
        <v>52</v>
      </c>
      <c r="I97" t="str">
        <f>IFERROR(VLOOKUP(C97, merchants!$A$2:$D$41, 2, FALSE), "Merchant not found")</f>
        <v>Merchant_001</v>
      </c>
      <c r="J97" t="str">
        <f>IFERROR(VLOOKUP(C97, merchants!$A$2:$D$41, 3, FALSE), "Merchant not found")</f>
        <v>ecommerce</v>
      </c>
      <c r="K97" t="str">
        <f>IFERROR(VLOOKUP(C97, merchants!$A$2:$D$41, 4, FALSE), "Merchant not found")</f>
        <v>South</v>
      </c>
      <c r="L97" s="2">
        <f>HLOOKUP(F97, merchants!$F$1:$I$2, 2, FALSE)</f>
        <v>0</v>
      </c>
      <c r="M97" t="str">
        <f t="shared" si="2"/>
        <v>Regular</v>
      </c>
      <c r="N97" s="5">
        <f t="shared" si="3"/>
        <v>46028</v>
      </c>
    </row>
    <row r="98" spans="1:14" x14ac:dyDescent="0.3">
      <c r="A98" t="s">
        <v>111</v>
      </c>
      <c r="B98">
        <v>241</v>
      </c>
      <c r="C98">
        <v>19</v>
      </c>
      <c r="D98" s="1">
        <v>46037.943055555559</v>
      </c>
      <c r="E98">
        <v>299</v>
      </c>
      <c r="F98" t="s">
        <v>12</v>
      </c>
      <c r="G98" t="s">
        <v>10</v>
      </c>
      <c r="H98">
        <v>4</v>
      </c>
      <c r="I98" t="str">
        <f>IFERROR(VLOOKUP(C98, merchants!$A$2:$D$41, 2, FALSE), "Merchant not found")</f>
        <v>Merchant_019</v>
      </c>
      <c r="J98" t="str">
        <f>IFERROR(VLOOKUP(C98, merchants!$A$2:$D$41, 3, FALSE), "Merchant not found")</f>
        <v>grocery</v>
      </c>
      <c r="K98" t="str">
        <f>IFERROR(VLOOKUP(C98, merchants!$A$2:$D$41, 4, FALSE), "Merchant not found")</f>
        <v>North</v>
      </c>
      <c r="L98" s="2">
        <f>HLOOKUP(F98, merchants!$F$1:$I$2, 2, FALSE)</f>
        <v>0</v>
      </c>
      <c r="M98" t="str">
        <f t="shared" si="2"/>
        <v>Regular</v>
      </c>
      <c r="N98" s="5">
        <f t="shared" si="3"/>
        <v>46037</v>
      </c>
    </row>
    <row r="99" spans="1:14" x14ac:dyDescent="0.3">
      <c r="A99" t="s">
        <v>112</v>
      </c>
      <c r="B99">
        <v>145</v>
      </c>
      <c r="C99">
        <v>30</v>
      </c>
      <c r="D99" s="1">
        <v>46030.40625</v>
      </c>
      <c r="E99">
        <v>799</v>
      </c>
      <c r="F99" t="s">
        <v>12</v>
      </c>
      <c r="G99" t="s">
        <v>10</v>
      </c>
      <c r="H99">
        <v>9</v>
      </c>
      <c r="I99" t="str">
        <f>IFERROR(VLOOKUP(C99, merchants!$A$2:$D$41, 2, FALSE), "Merchant not found")</f>
        <v>Merchant_030</v>
      </c>
      <c r="J99" t="str">
        <f>IFERROR(VLOOKUP(C99, merchants!$A$2:$D$41, 3, FALSE), "Merchant not found")</f>
        <v>travel</v>
      </c>
      <c r="K99" t="str">
        <f>IFERROR(VLOOKUP(C99, merchants!$A$2:$D$41, 4, FALSE), "Merchant not found")</f>
        <v>West</v>
      </c>
      <c r="L99" s="2">
        <f>HLOOKUP(F99, merchants!$F$1:$I$2, 2, FALSE)</f>
        <v>0</v>
      </c>
      <c r="M99" t="str">
        <f t="shared" si="2"/>
        <v>Regular</v>
      </c>
      <c r="N99" s="5">
        <f t="shared" si="3"/>
        <v>46030</v>
      </c>
    </row>
    <row r="100" spans="1:14" x14ac:dyDescent="0.3">
      <c r="A100" t="s">
        <v>113</v>
      </c>
      <c r="B100">
        <v>136</v>
      </c>
      <c r="C100">
        <v>38</v>
      </c>
      <c r="D100" s="1">
        <v>46044.332638888889</v>
      </c>
      <c r="E100">
        <v>299</v>
      </c>
      <c r="F100" t="s">
        <v>24</v>
      </c>
      <c r="G100" t="s">
        <v>10</v>
      </c>
      <c r="H100">
        <v>84</v>
      </c>
      <c r="I100" t="str">
        <f>IFERROR(VLOOKUP(C100, merchants!$A$2:$D$41, 2, FALSE), "Merchant not found")</f>
        <v>Merchant_038</v>
      </c>
      <c r="J100" t="str">
        <f>IFERROR(VLOOKUP(C100, merchants!$A$2:$D$41, 3, FALSE), "Merchant not found")</f>
        <v>grocery</v>
      </c>
      <c r="K100" t="str">
        <f>IFERROR(VLOOKUP(C100, merchants!$A$2:$D$41, 4, FALSE), "Merchant not found")</f>
        <v>East</v>
      </c>
      <c r="L100" s="2">
        <f>HLOOKUP(F100, merchants!$F$1:$I$2, 2, FALSE)</f>
        <v>0.02</v>
      </c>
      <c r="M100" t="str">
        <f t="shared" si="2"/>
        <v>Regular</v>
      </c>
      <c r="N100" s="5">
        <f t="shared" si="3"/>
        <v>46044</v>
      </c>
    </row>
    <row r="101" spans="1:14" x14ac:dyDescent="0.3">
      <c r="A101" t="s">
        <v>114</v>
      </c>
      <c r="B101">
        <v>59</v>
      </c>
      <c r="C101">
        <v>35</v>
      </c>
      <c r="D101" s="1">
        <v>46048.268750000003</v>
      </c>
      <c r="E101">
        <v>499</v>
      </c>
      <c r="F101" t="s">
        <v>12</v>
      </c>
      <c r="G101" t="s">
        <v>10</v>
      </c>
      <c r="H101">
        <v>28</v>
      </c>
      <c r="I101" t="str">
        <f>IFERROR(VLOOKUP(C101, merchants!$A$2:$D$41, 2, FALSE), "Merchant not found")</f>
        <v>Merchant_035</v>
      </c>
      <c r="J101" t="str">
        <f>IFERROR(VLOOKUP(C101, merchants!$A$2:$D$41, 3, FALSE), "Merchant not found")</f>
        <v>recharge</v>
      </c>
      <c r="K101" t="str">
        <f>IFERROR(VLOOKUP(C101, merchants!$A$2:$D$41, 4, FALSE), "Merchant not found")</f>
        <v>East</v>
      </c>
      <c r="L101" s="2">
        <f>HLOOKUP(F101, merchants!$F$1:$I$2, 2, FALSE)</f>
        <v>0</v>
      </c>
      <c r="M101" t="str">
        <f t="shared" si="2"/>
        <v>Regular</v>
      </c>
      <c r="N101" s="5">
        <f t="shared" si="3"/>
        <v>46048</v>
      </c>
    </row>
    <row r="102" spans="1:14" x14ac:dyDescent="0.3">
      <c r="A102" t="s">
        <v>115</v>
      </c>
      <c r="B102">
        <v>137</v>
      </c>
      <c r="C102">
        <v>10</v>
      </c>
      <c r="D102" s="1">
        <v>46043.206944444442</v>
      </c>
      <c r="E102">
        <v>299</v>
      </c>
      <c r="F102" t="s">
        <v>12</v>
      </c>
      <c r="G102" t="s">
        <v>10</v>
      </c>
      <c r="H102">
        <v>9</v>
      </c>
      <c r="I102" t="str">
        <f>IFERROR(VLOOKUP(C102, merchants!$A$2:$D$41, 2, FALSE), "Merchant not found")</f>
        <v>Merchant_010</v>
      </c>
      <c r="J102" t="str">
        <f>IFERROR(VLOOKUP(C102, merchants!$A$2:$D$41, 3, FALSE), "Merchant not found")</f>
        <v>grocery</v>
      </c>
      <c r="K102" t="str">
        <f>IFERROR(VLOOKUP(C102, merchants!$A$2:$D$41, 4, FALSE), "Merchant not found")</f>
        <v>West</v>
      </c>
      <c r="L102" s="2">
        <f>HLOOKUP(F102, merchants!$F$1:$I$2, 2, FALSE)</f>
        <v>0</v>
      </c>
      <c r="M102" t="str">
        <f t="shared" si="2"/>
        <v>Regular</v>
      </c>
      <c r="N102" s="5">
        <f t="shared" si="3"/>
        <v>46043</v>
      </c>
    </row>
    <row r="103" spans="1:14" x14ac:dyDescent="0.3">
      <c r="A103" t="s">
        <v>116</v>
      </c>
      <c r="B103">
        <v>158</v>
      </c>
      <c r="C103">
        <v>39</v>
      </c>
      <c r="D103" s="1">
        <v>46024.243055555555</v>
      </c>
      <c r="E103">
        <v>499</v>
      </c>
      <c r="F103" t="s">
        <v>15</v>
      </c>
      <c r="G103" t="s">
        <v>10</v>
      </c>
      <c r="H103">
        <v>95</v>
      </c>
      <c r="I103" t="str">
        <f>IFERROR(VLOOKUP(C103, merchants!$A$2:$D$41, 2, FALSE), "Merchant not found")</f>
        <v>Merchant_039</v>
      </c>
      <c r="J103" t="str">
        <f>IFERROR(VLOOKUP(C103, merchants!$A$2:$D$41, 3, FALSE), "Merchant not found")</f>
        <v>entertainment</v>
      </c>
      <c r="K103" t="str">
        <f>IFERROR(VLOOKUP(C103, merchants!$A$2:$D$41, 4, FALSE), "Merchant not found")</f>
        <v>North</v>
      </c>
      <c r="L103" s="2">
        <f>HLOOKUP(F103, merchants!$F$1:$I$2, 2, FALSE)</f>
        <v>1.7999999999999999E-2</v>
      </c>
      <c r="M103" t="str">
        <f t="shared" si="2"/>
        <v>Regular</v>
      </c>
      <c r="N103" s="5">
        <f t="shared" si="3"/>
        <v>46024</v>
      </c>
    </row>
    <row r="104" spans="1:14" x14ac:dyDescent="0.3">
      <c r="A104" t="s">
        <v>117</v>
      </c>
      <c r="B104">
        <v>148</v>
      </c>
      <c r="C104">
        <v>29</v>
      </c>
      <c r="D104" s="1">
        <v>46049.790277777778</v>
      </c>
      <c r="E104">
        <v>99</v>
      </c>
      <c r="F104" t="s">
        <v>24</v>
      </c>
      <c r="G104" t="s">
        <v>10</v>
      </c>
      <c r="H104">
        <v>15</v>
      </c>
      <c r="I104" t="str">
        <f>IFERROR(VLOOKUP(C104, merchants!$A$2:$D$41, 2, FALSE), "Merchant not found")</f>
        <v>Merchant_029</v>
      </c>
      <c r="J104" t="str">
        <f>IFERROR(VLOOKUP(C104, merchants!$A$2:$D$41, 3, FALSE), "Merchant not found")</f>
        <v>ecommerce</v>
      </c>
      <c r="K104" t="str">
        <f>IFERROR(VLOOKUP(C104, merchants!$A$2:$D$41, 4, FALSE), "Merchant not found")</f>
        <v>North</v>
      </c>
      <c r="L104" s="2">
        <f>HLOOKUP(F104, merchants!$F$1:$I$2, 2, FALSE)</f>
        <v>0.02</v>
      </c>
      <c r="M104" t="str">
        <f t="shared" si="2"/>
        <v>Regular</v>
      </c>
      <c r="N104" s="5">
        <f t="shared" si="3"/>
        <v>46049</v>
      </c>
    </row>
    <row r="105" spans="1:14" x14ac:dyDescent="0.3">
      <c r="A105" t="s">
        <v>118</v>
      </c>
      <c r="B105">
        <v>207</v>
      </c>
      <c r="C105">
        <v>18</v>
      </c>
      <c r="D105" s="1">
        <v>46037.929861111108</v>
      </c>
      <c r="E105">
        <v>149</v>
      </c>
      <c r="F105" t="s">
        <v>12</v>
      </c>
      <c r="G105" t="s">
        <v>10</v>
      </c>
      <c r="H105">
        <v>64</v>
      </c>
      <c r="I105" t="str">
        <f>IFERROR(VLOOKUP(C105, merchants!$A$2:$D$41, 2, FALSE), "Merchant not found")</f>
        <v>Merchant_018</v>
      </c>
      <c r="J105" t="str">
        <f>IFERROR(VLOOKUP(C105, merchants!$A$2:$D$41, 3, FALSE), "Merchant not found")</f>
        <v>grocery</v>
      </c>
      <c r="K105" t="str">
        <f>IFERROR(VLOOKUP(C105, merchants!$A$2:$D$41, 4, FALSE), "Merchant not found")</f>
        <v>West</v>
      </c>
      <c r="L105" s="2">
        <f>HLOOKUP(F105, merchants!$F$1:$I$2, 2, FALSE)</f>
        <v>0</v>
      </c>
      <c r="M105" t="str">
        <f t="shared" si="2"/>
        <v>Regular</v>
      </c>
      <c r="N105" s="5">
        <f t="shared" si="3"/>
        <v>46037</v>
      </c>
    </row>
    <row r="106" spans="1:14" x14ac:dyDescent="0.3">
      <c r="A106" t="s">
        <v>119</v>
      </c>
      <c r="B106">
        <v>42</v>
      </c>
      <c r="C106">
        <v>39</v>
      </c>
      <c r="D106" s="1">
        <v>46040.644444444442</v>
      </c>
      <c r="E106">
        <v>2999</v>
      </c>
      <c r="F106" t="s">
        <v>24</v>
      </c>
      <c r="G106" t="s">
        <v>10</v>
      </c>
      <c r="H106">
        <v>5</v>
      </c>
      <c r="I106" t="str">
        <f>IFERROR(VLOOKUP(C106, merchants!$A$2:$D$41, 2, FALSE), "Merchant not found")</f>
        <v>Merchant_039</v>
      </c>
      <c r="J106" t="str">
        <f>IFERROR(VLOOKUP(C106, merchants!$A$2:$D$41, 3, FALSE), "Merchant not found")</f>
        <v>entertainment</v>
      </c>
      <c r="K106" t="str">
        <f>IFERROR(VLOOKUP(C106, merchants!$A$2:$D$41, 4, FALSE), "Merchant not found")</f>
        <v>North</v>
      </c>
      <c r="L106" s="2">
        <f>HLOOKUP(F106, merchants!$F$1:$I$2, 2, FALSE)</f>
        <v>0.02</v>
      </c>
      <c r="M106" t="str">
        <f t="shared" si="2"/>
        <v>Regular</v>
      </c>
      <c r="N106" s="5">
        <f t="shared" si="3"/>
        <v>46040</v>
      </c>
    </row>
    <row r="107" spans="1:14" x14ac:dyDescent="0.3">
      <c r="A107" t="s">
        <v>120</v>
      </c>
      <c r="B107">
        <v>166</v>
      </c>
      <c r="C107">
        <v>39</v>
      </c>
      <c r="D107" s="1">
        <v>46051.574305555558</v>
      </c>
      <c r="E107">
        <v>149</v>
      </c>
      <c r="F107" t="s">
        <v>12</v>
      </c>
      <c r="G107" t="s">
        <v>10</v>
      </c>
      <c r="H107">
        <v>32</v>
      </c>
      <c r="I107" t="str">
        <f>IFERROR(VLOOKUP(C107, merchants!$A$2:$D$41, 2, FALSE), "Merchant not found")</f>
        <v>Merchant_039</v>
      </c>
      <c r="J107" t="str">
        <f>IFERROR(VLOOKUP(C107, merchants!$A$2:$D$41, 3, FALSE), "Merchant not found")</f>
        <v>entertainment</v>
      </c>
      <c r="K107" t="str">
        <f>IFERROR(VLOOKUP(C107, merchants!$A$2:$D$41, 4, FALSE), "Merchant not found")</f>
        <v>North</v>
      </c>
      <c r="L107" s="2">
        <f>HLOOKUP(F107, merchants!$F$1:$I$2, 2, FALSE)</f>
        <v>0</v>
      </c>
      <c r="M107" t="str">
        <f t="shared" si="2"/>
        <v>Regular</v>
      </c>
      <c r="N107" s="5">
        <f t="shared" si="3"/>
        <v>46051</v>
      </c>
    </row>
    <row r="108" spans="1:14" x14ac:dyDescent="0.3">
      <c r="A108" t="s">
        <v>121</v>
      </c>
      <c r="B108">
        <v>346</v>
      </c>
      <c r="C108">
        <v>37</v>
      </c>
      <c r="D108" s="1">
        <v>46023.093055555553</v>
      </c>
      <c r="E108">
        <v>99</v>
      </c>
      <c r="F108" t="s">
        <v>12</v>
      </c>
      <c r="G108" t="s">
        <v>10</v>
      </c>
      <c r="H108">
        <v>75</v>
      </c>
      <c r="I108" t="str">
        <f>IFERROR(VLOOKUP(C108, merchants!$A$2:$D$41, 2, FALSE), "Merchant not found")</f>
        <v>Merchant_037</v>
      </c>
      <c r="J108" t="str">
        <f>IFERROR(VLOOKUP(C108, merchants!$A$2:$D$41, 3, FALSE), "Merchant not found")</f>
        <v>entertainment</v>
      </c>
      <c r="K108" t="str">
        <f>IFERROR(VLOOKUP(C108, merchants!$A$2:$D$41, 4, FALSE), "Merchant not found")</f>
        <v>South</v>
      </c>
      <c r="L108" s="2">
        <f>HLOOKUP(F108, merchants!$F$1:$I$2, 2, FALSE)</f>
        <v>0</v>
      </c>
      <c r="M108" t="str">
        <f t="shared" si="2"/>
        <v>Regular</v>
      </c>
      <c r="N108" s="5">
        <f t="shared" si="3"/>
        <v>46023</v>
      </c>
    </row>
    <row r="109" spans="1:14" x14ac:dyDescent="0.3">
      <c r="A109" t="s">
        <v>122</v>
      </c>
      <c r="B109">
        <v>138</v>
      </c>
      <c r="C109">
        <v>37</v>
      </c>
      <c r="D109" s="1">
        <v>46023.911111111112</v>
      </c>
      <c r="E109">
        <v>499</v>
      </c>
      <c r="F109" t="s">
        <v>12</v>
      </c>
      <c r="G109" t="s">
        <v>10</v>
      </c>
      <c r="H109">
        <v>5</v>
      </c>
      <c r="I109" t="str">
        <f>IFERROR(VLOOKUP(C109, merchants!$A$2:$D$41, 2, FALSE), "Merchant not found")</f>
        <v>Merchant_037</v>
      </c>
      <c r="J109" t="str">
        <f>IFERROR(VLOOKUP(C109, merchants!$A$2:$D$41, 3, FALSE), "Merchant not found")</f>
        <v>entertainment</v>
      </c>
      <c r="K109" t="str">
        <f>IFERROR(VLOOKUP(C109, merchants!$A$2:$D$41, 4, FALSE), "Merchant not found")</f>
        <v>South</v>
      </c>
      <c r="L109" s="2">
        <f>HLOOKUP(F109, merchants!$F$1:$I$2, 2, FALSE)</f>
        <v>0</v>
      </c>
      <c r="M109" t="str">
        <f t="shared" si="2"/>
        <v>Regular</v>
      </c>
      <c r="N109" s="5">
        <f t="shared" si="3"/>
        <v>46023</v>
      </c>
    </row>
    <row r="110" spans="1:14" x14ac:dyDescent="0.3">
      <c r="A110" t="s">
        <v>123</v>
      </c>
      <c r="B110">
        <v>266</v>
      </c>
      <c r="C110">
        <v>29</v>
      </c>
      <c r="D110" s="1">
        <v>46047.229166666664</v>
      </c>
      <c r="E110">
        <v>499</v>
      </c>
      <c r="F110" t="s">
        <v>9</v>
      </c>
      <c r="G110" t="s">
        <v>25</v>
      </c>
      <c r="H110">
        <v>35</v>
      </c>
      <c r="I110" t="str">
        <f>IFERROR(VLOOKUP(C110, merchants!$A$2:$D$41, 2, FALSE), "Merchant not found")</f>
        <v>Merchant_029</v>
      </c>
      <c r="J110" t="str">
        <f>IFERROR(VLOOKUP(C110, merchants!$A$2:$D$41, 3, FALSE), "Merchant not found")</f>
        <v>ecommerce</v>
      </c>
      <c r="K110" t="str">
        <f>IFERROR(VLOOKUP(C110, merchants!$A$2:$D$41, 4, FALSE), "Merchant not found")</f>
        <v>North</v>
      </c>
      <c r="L110" s="2">
        <f>HLOOKUP(F110, merchants!$F$1:$I$2, 2, FALSE)</f>
        <v>1.4999999999999999E-2</v>
      </c>
      <c r="M110" t="str">
        <f t="shared" si="2"/>
        <v>Regular</v>
      </c>
      <c r="N110" s="5">
        <f t="shared" si="3"/>
        <v>46047</v>
      </c>
    </row>
    <row r="111" spans="1:14" x14ac:dyDescent="0.3">
      <c r="A111" t="s">
        <v>124</v>
      </c>
      <c r="B111">
        <v>326</v>
      </c>
      <c r="C111">
        <v>32</v>
      </c>
      <c r="D111" s="1">
        <v>46028.768750000003</v>
      </c>
      <c r="E111">
        <v>149</v>
      </c>
      <c r="F111" t="s">
        <v>12</v>
      </c>
      <c r="G111" t="s">
        <v>10</v>
      </c>
      <c r="H111">
        <v>11</v>
      </c>
      <c r="I111" t="str">
        <f>IFERROR(VLOOKUP(C111, merchants!$A$2:$D$41, 2, FALSE), "Merchant not found")</f>
        <v>Merchant_032</v>
      </c>
      <c r="J111" t="str">
        <f>IFERROR(VLOOKUP(C111, merchants!$A$2:$D$41, 3, FALSE), "Merchant not found")</f>
        <v>food_delivery</v>
      </c>
      <c r="K111" t="str">
        <f>IFERROR(VLOOKUP(C111, merchants!$A$2:$D$41, 4, FALSE), "Merchant not found")</f>
        <v>West</v>
      </c>
      <c r="L111" s="2">
        <f>HLOOKUP(F111, merchants!$F$1:$I$2, 2, FALSE)</f>
        <v>0</v>
      </c>
      <c r="M111" t="str">
        <f t="shared" si="2"/>
        <v>Regular</v>
      </c>
      <c r="N111" s="5">
        <f t="shared" si="3"/>
        <v>46028</v>
      </c>
    </row>
    <row r="112" spans="1:14" x14ac:dyDescent="0.3">
      <c r="A112" t="s">
        <v>125</v>
      </c>
      <c r="B112">
        <v>171</v>
      </c>
      <c r="C112">
        <v>21</v>
      </c>
      <c r="D112" s="1">
        <v>46038.476388888892</v>
      </c>
      <c r="E112">
        <v>799</v>
      </c>
      <c r="F112" t="s">
        <v>12</v>
      </c>
      <c r="G112" t="s">
        <v>10</v>
      </c>
      <c r="H112">
        <v>85</v>
      </c>
      <c r="I112" t="str">
        <f>IFERROR(VLOOKUP(C112, merchants!$A$2:$D$41, 2, FALSE), "Merchant not found")</f>
        <v>Merchant_021</v>
      </c>
      <c r="J112" t="str">
        <f>IFERROR(VLOOKUP(C112, merchants!$A$2:$D$41, 3, FALSE), "Merchant not found")</f>
        <v>food_delivery</v>
      </c>
      <c r="K112" t="str">
        <f>IFERROR(VLOOKUP(C112, merchants!$A$2:$D$41, 4, FALSE), "Merchant not found")</f>
        <v>East</v>
      </c>
      <c r="L112" s="2">
        <f>HLOOKUP(F112, merchants!$F$1:$I$2, 2, FALSE)</f>
        <v>0</v>
      </c>
      <c r="M112" t="str">
        <f t="shared" si="2"/>
        <v>Regular</v>
      </c>
      <c r="N112" s="5">
        <f t="shared" si="3"/>
        <v>46038</v>
      </c>
    </row>
    <row r="113" spans="1:14" x14ac:dyDescent="0.3">
      <c r="A113" t="s">
        <v>126</v>
      </c>
      <c r="B113">
        <v>211</v>
      </c>
      <c r="C113">
        <v>32</v>
      </c>
      <c r="D113" s="1">
        <v>46026.222916666666</v>
      </c>
      <c r="E113">
        <v>49</v>
      </c>
      <c r="F113" t="s">
        <v>12</v>
      </c>
      <c r="G113" t="s">
        <v>10</v>
      </c>
      <c r="H113">
        <v>36</v>
      </c>
      <c r="I113" t="str">
        <f>IFERROR(VLOOKUP(C113, merchants!$A$2:$D$41, 2, FALSE), "Merchant not found")</f>
        <v>Merchant_032</v>
      </c>
      <c r="J113" t="str">
        <f>IFERROR(VLOOKUP(C113, merchants!$A$2:$D$41, 3, FALSE), "Merchant not found")</f>
        <v>food_delivery</v>
      </c>
      <c r="K113" t="str">
        <f>IFERROR(VLOOKUP(C113, merchants!$A$2:$D$41, 4, FALSE), "Merchant not found")</f>
        <v>West</v>
      </c>
      <c r="L113" s="2">
        <f>HLOOKUP(F113, merchants!$F$1:$I$2, 2, FALSE)</f>
        <v>0</v>
      </c>
      <c r="M113" t="str">
        <f t="shared" si="2"/>
        <v>Regular</v>
      </c>
      <c r="N113" s="5">
        <f t="shared" si="3"/>
        <v>46026</v>
      </c>
    </row>
    <row r="114" spans="1:14" x14ac:dyDescent="0.3">
      <c r="A114" t="s">
        <v>127</v>
      </c>
      <c r="B114">
        <v>282</v>
      </c>
      <c r="C114">
        <v>3</v>
      </c>
      <c r="D114" s="1">
        <v>46044.536111111112</v>
      </c>
      <c r="E114">
        <v>499</v>
      </c>
      <c r="F114" t="s">
        <v>12</v>
      </c>
      <c r="G114" t="s">
        <v>10</v>
      </c>
      <c r="H114">
        <v>58</v>
      </c>
      <c r="I114" t="str">
        <f>IFERROR(VLOOKUP(C114, merchants!$A$2:$D$41, 2, FALSE), "Merchant not found")</f>
        <v>Merchant_003</v>
      </c>
      <c r="J114" t="str">
        <f>IFERROR(VLOOKUP(C114, merchants!$A$2:$D$41, 3, FALSE), "Merchant not found")</f>
        <v>grocery</v>
      </c>
      <c r="K114" t="str">
        <f>IFERROR(VLOOKUP(C114, merchants!$A$2:$D$41, 4, FALSE), "Merchant not found")</f>
        <v>East</v>
      </c>
      <c r="L114" s="2">
        <f>HLOOKUP(F114, merchants!$F$1:$I$2, 2, FALSE)</f>
        <v>0</v>
      </c>
      <c r="M114" t="str">
        <f t="shared" si="2"/>
        <v>Regular</v>
      </c>
      <c r="N114" s="5">
        <f t="shared" si="3"/>
        <v>46044</v>
      </c>
    </row>
    <row r="115" spans="1:14" x14ac:dyDescent="0.3">
      <c r="A115" t="s">
        <v>128</v>
      </c>
      <c r="B115">
        <v>166</v>
      </c>
      <c r="C115">
        <v>8</v>
      </c>
      <c r="D115" s="1">
        <v>46025.427777777775</v>
      </c>
      <c r="E115">
        <v>299</v>
      </c>
      <c r="F115" t="s">
        <v>12</v>
      </c>
      <c r="G115" t="s">
        <v>10</v>
      </c>
      <c r="H115">
        <v>98</v>
      </c>
      <c r="I115" t="str">
        <f>IFERROR(VLOOKUP(C115, merchants!$A$2:$D$41, 2, FALSE), "Merchant not found")</f>
        <v>Merchant_008</v>
      </c>
      <c r="J115" t="str">
        <f>IFERROR(VLOOKUP(C115, merchants!$A$2:$D$41, 3, FALSE), "Merchant not found")</f>
        <v>food_delivery</v>
      </c>
      <c r="K115" t="str">
        <f>IFERROR(VLOOKUP(C115, merchants!$A$2:$D$41, 4, FALSE), "Merchant not found")</f>
        <v>North</v>
      </c>
      <c r="L115" s="2">
        <f>HLOOKUP(F115, merchants!$F$1:$I$2, 2, FALSE)</f>
        <v>0</v>
      </c>
      <c r="M115" t="str">
        <f t="shared" si="2"/>
        <v>Regular</v>
      </c>
      <c r="N115" s="5">
        <f t="shared" si="3"/>
        <v>46025</v>
      </c>
    </row>
    <row r="116" spans="1:14" x14ac:dyDescent="0.3">
      <c r="A116" t="s">
        <v>129</v>
      </c>
      <c r="B116">
        <v>1</v>
      </c>
      <c r="C116">
        <v>35</v>
      </c>
      <c r="D116" s="1">
        <v>46035.702777777777</v>
      </c>
      <c r="E116">
        <v>149</v>
      </c>
      <c r="F116" t="s">
        <v>12</v>
      </c>
      <c r="G116" t="s">
        <v>10</v>
      </c>
      <c r="H116">
        <v>59</v>
      </c>
      <c r="I116" t="str">
        <f>IFERROR(VLOOKUP(C116, merchants!$A$2:$D$41, 2, FALSE), "Merchant not found")</f>
        <v>Merchant_035</v>
      </c>
      <c r="J116" t="str">
        <f>IFERROR(VLOOKUP(C116, merchants!$A$2:$D$41, 3, FALSE), "Merchant not found")</f>
        <v>recharge</v>
      </c>
      <c r="K116" t="str">
        <f>IFERROR(VLOOKUP(C116, merchants!$A$2:$D$41, 4, FALSE), "Merchant not found")</f>
        <v>East</v>
      </c>
      <c r="L116" s="2">
        <f>HLOOKUP(F116, merchants!$F$1:$I$2, 2, FALSE)</f>
        <v>0</v>
      </c>
      <c r="M116" t="str">
        <f t="shared" si="2"/>
        <v>Regular</v>
      </c>
      <c r="N116" s="5">
        <f t="shared" si="3"/>
        <v>46035</v>
      </c>
    </row>
    <row r="117" spans="1:14" x14ac:dyDescent="0.3">
      <c r="A117" t="s">
        <v>130</v>
      </c>
      <c r="B117">
        <v>266</v>
      </c>
      <c r="C117">
        <v>24</v>
      </c>
      <c r="D117" s="1">
        <v>46036.05</v>
      </c>
      <c r="E117">
        <v>499</v>
      </c>
      <c r="F117" t="s">
        <v>12</v>
      </c>
      <c r="G117" t="s">
        <v>10</v>
      </c>
      <c r="H117">
        <v>79</v>
      </c>
      <c r="I117" t="str">
        <f>IFERROR(VLOOKUP(C117, merchants!$A$2:$D$41, 2, FALSE), "Merchant not found")</f>
        <v>Merchant_024</v>
      </c>
      <c r="J117" t="str">
        <f>IFERROR(VLOOKUP(C117, merchants!$A$2:$D$41, 3, FALSE), "Merchant not found")</f>
        <v>grocery</v>
      </c>
      <c r="K117" t="str">
        <f>IFERROR(VLOOKUP(C117, merchants!$A$2:$D$41, 4, FALSE), "Merchant not found")</f>
        <v>North</v>
      </c>
      <c r="L117" s="2">
        <f>HLOOKUP(F117, merchants!$F$1:$I$2, 2, FALSE)</f>
        <v>0</v>
      </c>
      <c r="M117" t="str">
        <f t="shared" si="2"/>
        <v>Regular</v>
      </c>
      <c r="N117" s="5">
        <f t="shared" si="3"/>
        <v>46036</v>
      </c>
    </row>
    <row r="118" spans="1:14" x14ac:dyDescent="0.3">
      <c r="A118" t="s">
        <v>131</v>
      </c>
      <c r="B118">
        <v>227</v>
      </c>
      <c r="C118">
        <v>4</v>
      </c>
      <c r="D118" s="1">
        <v>46047.652777777781</v>
      </c>
      <c r="E118">
        <v>499</v>
      </c>
      <c r="F118" t="s">
        <v>12</v>
      </c>
      <c r="G118" t="s">
        <v>10</v>
      </c>
      <c r="H118">
        <v>26</v>
      </c>
      <c r="I118" t="str">
        <f>IFERROR(VLOOKUP(C118, merchants!$A$2:$D$41, 2, FALSE), "Merchant not found")</f>
        <v>Merchant_004</v>
      </c>
      <c r="J118" t="str">
        <f>IFERROR(VLOOKUP(C118, merchants!$A$2:$D$41, 3, FALSE), "Merchant not found")</f>
        <v>ecommerce</v>
      </c>
      <c r="K118" t="str">
        <f>IFERROR(VLOOKUP(C118, merchants!$A$2:$D$41, 4, FALSE), "Merchant not found")</f>
        <v>East</v>
      </c>
      <c r="L118" s="2">
        <f>HLOOKUP(F118, merchants!$F$1:$I$2, 2, FALSE)</f>
        <v>0</v>
      </c>
      <c r="M118" t="str">
        <f t="shared" si="2"/>
        <v>Regular</v>
      </c>
      <c r="N118" s="5">
        <f t="shared" si="3"/>
        <v>46047</v>
      </c>
    </row>
    <row r="119" spans="1:14" x14ac:dyDescent="0.3">
      <c r="A119" t="s">
        <v>132</v>
      </c>
      <c r="B119">
        <v>148</v>
      </c>
      <c r="C119">
        <v>29</v>
      </c>
      <c r="D119" s="1">
        <v>46031.713888888888</v>
      </c>
      <c r="E119">
        <v>499</v>
      </c>
      <c r="F119" t="s">
        <v>12</v>
      </c>
      <c r="G119" t="s">
        <v>10</v>
      </c>
      <c r="H119">
        <v>89</v>
      </c>
      <c r="I119" t="str">
        <f>IFERROR(VLOOKUP(C119, merchants!$A$2:$D$41, 2, FALSE), "Merchant not found")</f>
        <v>Merchant_029</v>
      </c>
      <c r="J119" t="str">
        <f>IFERROR(VLOOKUP(C119, merchants!$A$2:$D$41, 3, FALSE), "Merchant not found")</f>
        <v>ecommerce</v>
      </c>
      <c r="K119" t="str">
        <f>IFERROR(VLOOKUP(C119, merchants!$A$2:$D$41, 4, FALSE), "Merchant not found")</f>
        <v>North</v>
      </c>
      <c r="L119" s="2">
        <f>HLOOKUP(F119, merchants!$F$1:$I$2, 2, FALSE)</f>
        <v>0</v>
      </c>
      <c r="M119" t="str">
        <f t="shared" si="2"/>
        <v>Regular</v>
      </c>
      <c r="N119" s="5">
        <f t="shared" si="3"/>
        <v>46031</v>
      </c>
    </row>
    <row r="120" spans="1:14" x14ac:dyDescent="0.3">
      <c r="A120" t="s">
        <v>133</v>
      </c>
      <c r="B120">
        <v>323</v>
      </c>
      <c r="C120">
        <v>39</v>
      </c>
      <c r="D120" s="1">
        <v>46038.125694444447</v>
      </c>
      <c r="E120">
        <v>499</v>
      </c>
      <c r="F120" t="s">
        <v>12</v>
      </c>
      <c r="G120" t="s">
        <v>10</v>
      </c>
      <c r="H120">
        <v>30</v>
      </c>
      <c r="I120" t="str">
        <f>IFERROR(VLOOKUP(C120, merchants!$A$2:$D$41, 2, FALSE), "Merchant not found")</f>
        <v>Merchant_039</v>
      </c>
      <c r="J120" t="str">
        <f>IFERROR(VLOOKUP(C120, merchants!$A$2:$D$41, 3, FALSE), "Merchant not found")</f>
        <v>entertainment</v>
      </c>
      <c r="K120" t="str">
        <f>IFERROR(VLOOKUP(C120, merchants!$A$2:$D$41, 4, FALSE), "Merchant not found")</f>
        <v>North</v>
      </c>
      <c r="L120" s="2">
        <f>HLOOKUP(F120, merchants!$F$1:$I$2, 2, FALSE)</f>
        <v>0</v>
      </c>
      <c r="M120" t="str">
        <f t="shared" si="2"/>
        <v>Regular</v>
      </c>
      <c r="N120" s="5">
        <f t="shared" si="3"/>
        <v>46038</v>
      </c>
    </row>
    <row r="121" spans="1:14" x14ac:dyDescent="0.3">
      <c r="A121" t="s">
        <v>134</v>
      </c>
      <c r="B121">
        <v>283</v>
      </c>
      <c r="C121">
        <v>1</v>
      </c>
      <c r="D121" s="1">
        <v>46045.22152777778</v>
      </c>
      <c r="E121">
        <v>2999</v>
      </c>
      <c r="F121" t="s">
        <v>9</v>
      </c>
      <c r="G121" t="s">
        <v>10</v>
      </c>
      <c r="H121">
        <v>70</v>
      </c>
      <c r="I121" t="str">
        <f>IFERROR(VLOOKUP(C121, merchants!$A$2:$D$41, 2, FALSE), "Merchant not found")</f>
        <v>Merchant_001</v>
      </c>
      <c r="J121" t="str">
        <f>IFERROR(VLOOKUP(C121, merchants!$A$2:$D$41, 3, FALSE), "Merchant not found")</f>
        <v>ecommerce</v>
      </c>
      <c r="K121" t="str">
        <f>IFERROR(VLOOKUP(C121, merchants!$A$2:$D$41, 4, FALSE), "Merchant not found")</f>
        <v>South</v>
      </c>
      <c r="L121" s="2">
        <f>HLOOKUP(F121, merchants!$F$1:$I$2, 2, FALSE)</f>
        <v>1.4999999999999999E-2</v>
      </c>
      <c r="M121" t="str">
        <f t="shared" si="2"/>
        <v>Regular</v>
      </c>
      <c r="N121" s="5">
        <f t="shared" si="3"/>
        <v>46045</v>
      </c>
    </row>
    <row r="122" spans="1:14" x14ac:dyDescent="0.3">
      <c r="A122" t="s">
        <v>135</v>
      </c>
      <c r="B122">
        <v>59</v>
      </c>
      <c r="C122">
        <v>30</v>
      </c>
      <c r="D122" s="1">
        <v>46036.093055555553</v>
      </c>
      <c r="E122">
        <v>499</v>
      </c>
      <c r="F122" t="s">
        <v>12</v>
      </c>
      <c r="G122" t="s">
        <v>10</v>
      </c>
      <c r="H122">
        <v>15</v>
      </c>
      <c r="I122" t="str">
        <f>IFERROR(VLOOKUP(C122, merchants!$A$2:$D$41, 2, FALSE), "Merchant not found")</f>
        <v>Merchant_030</v>
      </c>
      <c r="J122" t="str">
        <f>IFERROR(VLOOKUP(C122, merchants!$A$2:$D$41, 3, FALSE), "Merchant not found")</f>
        <v>travel</v>
      </c>
      <c r="K122" t="str">
        <f>IFERROR(VLOOKUP(C122, merchants!$A$2:$D$41, 4, FALSE), "Merchant not found")</f>
        <v>West</v>
      </c>
      <c r="L122" s="2">
        <f>HLOOKUP(F122, merchants!$F$1:$I$2, 2, FALSE)</f>
        <v>0</v>
      </c>
      <c r="M122" t="str">
        <f t="shared" si="2"/>
        <v>Regular</v>
      </c>
      <c r="N122" s="5">
        <f t="shared" si="3"/>
        <v>46036</v>
      </c>
    </row>
    <row r="123" spans="1:14" x14ac:dyDescent="0.3">
      <c r="A123" t="s">
        <v>136</v>
      </c>
      <c r="B123">
        <v>150</v>
      </c>
      <c r="C123">
        <v>33</v>
      </c>
      <c r="D123" s="1">
        <v>46043.188194444447</v>
      </c>
      <c r="E123">
        <v>2999</v>
      </c>
      <c r="F123" t="s">
        <v>12</v>
      </c>
      <c r="G123" t="s">
        <v>10</v>
      </c>
      <c r="H123">
        <v>90</v>
      </c>
      <c r="I123" t="str">
        <f>IFERROR(VLOOKUP(C123, merchants!$A$2:$D$41, 2, FALSE), "Merchant not found")</f>
        <v>Merchant_033</v>
      </c>
      <c r="J123" t="str">
        <f>IFERROR(VLOOKUP(C123, merchants!$A$2:$D$41, 3, FALSE), "Merchant not found")</f>
        <v>bill_payment</v>
      </c>
      <c r="K123" t="str">
        <f>IFERROR(VLOOKUP(C123, merchants!$A$2:$D$41, 4, FALSE), "Merchant not found")</f>
        <v>East</v>
      </c>
      <c r="L123" s="2">
        <f>HLOOKUP(F123, merchants!$F$1:$I$2, 2, FALSE)</f>
        <v>0</v>
      </c>
      <c r="M123" t="str">
        <f t="shared" si="2"/>
        <v>Regular</v>
      </c>
      <c r="N123" s="5">
        <f t="shared" si="3"/>
        <v>46043</v>
      </c>
    </row>
    <row r="124" spans="1:14" x14ac:dyDescent="0.3">
      <c r="A124" t="s">
        <v>137</v>
      </c>
      <c r="B124">
        <v>248</v>
      </c>
      <c r="C124">
        <v>31</v>
      </c>
      <c r="D124" s="1">
        <v>46031.578472222223</v>
      </c>
      <c r="E124">
        <v>1499</v>
      </c>
      <c r="F124" t="s">
        <v>12</v>
      </c>
      <c r="G124" t="s">
        <v>25</v>
      </c>
      <c r="H124">
        <v>31</v>
      </c>
      <c r="I124" t="str">
        <f>IFERROR(VLOOKUP(C124, merchants!$A$2:$D$41, 2, FALSE), "Merchant not found")</f>
        <v>Merchant_031</v>
      </c>
      <c r="J124" t="str">
        <f>IFERROR(VLOOKUP(C124, merchants!$A$2:$D$41, 3, FALSE), "Merchant not found")</f>
        <v>bill_payment</v>
      </c>
      <c r="K124" t="str">
        <f>IFERROR(VLOOKUP(C124, merchants!$A$2:$D$41, 4, FALSE), "Merchant not found")</f>
        <v>East</v>
      </c>
      <c r="L124" s="2">
        <f>HLOOKUP(F124, merchants!$F$1:$I$2, 2, FALSE)</f>
        <v>0</v>
      </c>
      <c r="M124" t="str">
        <f t="shared" si="2"/>
        <v>Regular</v>
      </c>
      <c r="N124" s="5">
        <f t="shared" si="3"/>
        <v>46031</v>
      </c>
    </row>
    <row r="125" spans="1:14" x14ac:dyDescent="0.3">
      <c r="A125" t="s">
        <v>138</v>
      </c>
      <c r="B125">
        <v>197</v>
      </c>
      <c r="C125">
        <v>13</v>
      </c>
      <c r="D125" s="1">
        <v>46037.714583333334</v>
      </c>
      <c r="E125">
        <v>49</v>
      </c>
      <c r="F125" t="s">
        <v>12</v>
      </c>
      <c r="G125" t="s">
        <v>10</v>
      </c>
      <c r="H125">
        <v>76</v>
      </c>
      <c r="I125" t="str">
        <f>IFERROR(VLOOKUP(C125, merchants!$A$2:$D$41, 2, FALSE), "Merchant not found")</f>
        <v>Merchant_013</v>
      </c>
      <c r="J125" t="str">
        <f>IFERROR(VLOOKUP(C125, merchants!$A$2:$D$41, 3, FALSE), "Merchant not found")</f>
        <v>travel</v>
      </c>
      <c r="K125" t="str">
        <f>IFERROR(VLOOKUP(C125, merchants!$A$2:$D$41, 4, FALSE), "Merchant not found")</f>
        <v>East</v>
      </c>
      <c r="L125" s="2">
        <f>HLOOKUP(F125, merchants!$F$1:$I$2, 2, FALSE)</f>
        <v>0</v>
      </c>
      <c r="M125" t="str">
        <f t="shared" si="2"/>
        <v>Regular</v>
      </c>
      <c r="N125" s="5">
        <f t="shared" si="3"/>
        <v>46037</v>
      </c>
    </row>
    <row r="126" spans="1:14" x14ac:dyDescent="0.3">
      <c r="A126" t="s">
        <v>139</v>
      </c>
      <c r="B126">
        <v>70</v>
      </c>
      <c r="C126">
        <v>5</v>
      </c>
      <c r="D126" s="1">
        <v>46039.99722222222</v>
      </c>
      <c r="E126">
        <v>499</v>
      </c>
      <c r="F126" t="s">
        <v>12</v>
      </c>
      <c r="G126" t="s">
        <v>10</v>
      </c>
      <c r="H126">
        <v>35</v>
      </c>
      <c r="I126" t="str">
        <f>IFERROR(VLOOKUP(C126, merchants!$A$2:$D$41, 2, FALSE), "Merchant not found")</f>
        <v>Merchant_005</v>
      </c>
      <c r="J126" t="str">
        <f>IFERROR(VLOOKUP(C126, merchants!$A$2:$D$41, 3, FALSE), "Merchant not found")</f>
        <v>recharge</v>
      </c>
      <c r="K126" t="str">
        <f>IFERROR(VLOOKUP(C126, merchants!$A$2:$D$41, 4, FALSE), "Merchant not found")</f>
        <v>South</v>
      </c>
      <c r="L126" s="2">
        <f>HLOOKUP(F126, merchants!$F$1:$I$2, 2, FALSE)</f>
        <v>0</v>
      </c>
      <c r="M126" t="str">
        <f t="shared" si="2"/>
        <v>Regular</v>
      </c>
      <c r="N126" s="5">
        <f t="shared" si="3"/>
        <v>46039</v>
      </c>
    </row>
    <row r="127" spans="1:14" x14ac:dyDescent="0.3">
      <c r="A127" t="s">
        <v>140</v>
      </c>
      <c r="B127">
        <v>260</v>
      </c>
      <c r="C127">
        <v>18</v>
      </c>
      <c r="D127" s="1">
        <v>46047.556250000001</v>
      </c>
      <c r="E127">
        <v>1499</v>
      </c>
      <c r="F127" t="s">
        <v>12</v>
      </c>
      <c r="G127" t="s">
        <v>10</v>
      </c>
      <c r="H127">
        <v>0</v>
      </c>
      <c r="I127" t="str">
        <f>IFERROR(VLOOKUP(C127, merchants!$A$2:$D$41, 2, FALSE), "Merchant not found")</f>
        <v>Merchant_018</v>
      </c>
      <c r="J127" t="str">
        <f>IFERROR(VLOOKUP(C127, merchants!$A$2:$D$41, 3, FALSE), "Merchant not found")</f>
        <v>grocery</v>
      </c>
      <c r="K127" t="str">
        <f>IFERROR(VLOOKUP(C127, merchants!$A$2:$D$41, 4, FALSE), "Merchant not found")</f>
        <v>West</v>
      </c>
      <c r="L127" s="2">
        <f>HLOOKUP(F127, merchants!$F$1:$I$2, 2, FALSE)</f>
        <v>0</v>
      </c>
      <c r="M127" t="str">
        <f t="shared" si="2"/>
        <v>Regular</v>
      </c>
      <c r="N127" s="5">
        <f t="shared" si="3"/>
        <v>46047</v>
      </c>
    </row>
    <row r="128" spans="1:14" x14ac:dyDescent="0.3">
      <c r="A128" t="s">
        <v>141</v>
      </c>
      <c r="B128">
        <v>301</v>
      </c>
      <c r="C128">
        <v>38</v>
      </c>
      <c r="D128" s="1">
        <v>46032.97152777778</v>
      </c>
      <c r="E128">
        <v>99</v>
      </c>
      <c r="F128" t="s">
        <v>12</v>
      </c>
      <c r="G128" t="s">
        <v>10</v>
      </c>
      <c r="H128">
        <v>84</v>
      </c>
      <c r="I128" t="str">
        <f>IFERROR(VLOOKUP(C128, merchants!$A$2:$D$41, 2, FALSE), "Merchant not found")</f>
        <v>Merchant_038</v>
      </c>
      <c r="J128" t="str">
        <f>IFERROR(VLOOKUP(C128, merchants!$A$2:$D$41, 3, FALSE), "Merchant not found")</f>
        <v>grocery</v>
      </c>
      <c r="K128" t="str">
        <f>IFERROR(VLOOKUP(C128, merchants!$A$2:$D$41, 4, FALSE), "Merchant not found")</f>
        <v>East</v>
      </c>
      <c r="L128" s="2">
        <f>HLOOKUP(F128, merchants!$F$1:$I$2, 2, FALSE)</f>
        <v>0</v>
      </c>
      <c r="M128" t="str">
        <f t="shared" si="2"/>
        <v>Regular</v>
      </c>
      <c r="N128" s="5">
        <f t="shared" si="3"/>
        <v>46032</v>
      </c>
    </row>
    <row r="129" spans="1:14" x14ac:dyDescent="0.3">
      <c r="A129" t="s">
        <v>142</v>
      </c>
      <c r="B129">
        <v>276</v>
      </c>
      <c r="C129">
        <v>31</v>
      </c>
      <c r="D129" s="1">
        <v>46038.186111111114</v>
      </c>
      <c r="E129">
        <v>499</v>
      </c>
      <c r="F129" t="s">
        <v>24</v>
      </c>
      <c r="G129" t="s">
        <v>10</v>
      </c>
      <c r="H129">
        <v>44</v>
      </c>
      <c r="I129" t="str">
        <f>IFERROR(VLOOKUP(C129, merchants!$A$2:$D$41, 2, FALSE), "Merchant not found")</f>
        <v>Merchant_031</v>
      </c>
      <c r="J129" t="str">
        <f>IFERROR(VLOOKUP(C129, merchants!$A$2:$D$41, 3, FALSE), "Merchant not found")</f>
        <v>bill_payment</v>
      </c>
      <c r="K129" t="str">
        <f>IFERROR(VLOOKUP(C129, merchants!$A$2:$D$41, 4, FALSE), "Merchant not found")</f>
        <v>East</v>
      </c>
      <c r="L129" s="2">
        <f>HLOOKUP(F129, merchants!$F$1:$I$2, 2, FALSE)</f>
        <v>0.02</v>
      </c>
      <c r="M129" t="str">
        <f t="shared" si="2"/>
        <v>Regular</v>
      </c>
      <c r="N129" s="5">
        <f t="shared" si="3"/>
        <v>46038</v>
      </c>
    </row>
    <row r="130" spans="1:14" x14ac:dyDescent="0.3">
      <c r="A130" t="s">
        <v>143</v>
      </c>
      <c r="B130">
        <v>279</v>
      </c>
      <c r="C130">
        <v>25</v>
      </c>
      <c r="D130" s="1">
        <v>46033.741666666669</v>
      </c>
      <c r="E130">
        <v>799</v>
      </c>
      <c r="F130" t="s">
        <v>12</v>
      </c>
      <c r="G130" t="s">
        <v>10</v>
      </c>
      <c r="H130">
        <v>58</v>
      </c>
      <c r="I130" t="str">
        <f>IFERROR(VLOOKUP(C130, merchants!$A$2:$D$41, 2, FALSE), "Merchant not found")</f>
        <v>Merchant_025</v>
      </c>
      <c r="J130" t="str">
        <f>IFERROR(VLOOKUP(C130, merchants!$A$2:$D$41, 3, FALSE), "Merchant not found")</f>
        <v>travel</v>
      </c>
      <c r="K130" t="str">
        <f>IFERROR(VLOOKUP(C130, merchants!$A$2:$D$41, 4, FALSE), "Merchant not found")</f>
        <v>South</v>
      </c>
      <c r="L130" s="2">
        <f>HLOOKUP(F130, merchants!$F$1:$I$2, 2, FALSE)</f>
        <v>0</v>
      </c>
      <c r="M130" t="str">
        <f t="shared" si="2"/>
        <v>Regular</v>
      </c>
      <c r="N130" s="5">
        <f t="shared" si="3"/>
        <v>46033</v>
      </c>
    </row>
    <row r="131" spans="1:14" x14ac:dyDescent="0.3">
      <c r="A131" t="s">
        <v>144</v>
      </c>
      <c r="B131">
        <v>97</v>
      </c>
      <c r="C131">
        <v>16</v>
      </c>
      <c r="D131" s="1">
        <v>46052.454861111109</v>
      </c>
      <c r="E131">
        <v>799</v>
      </c>
      <c r="F131" t="s">
        <v>24</v>
      </c>
      <c r="G131" t="s">
        <v>10</v>
      </c>
      <c r="H131">
        <v>73</v>
      </c>
      <c r="I131" t="str">
        <f>IFERROR(VLOOKUP(C131, merchants!$A$2:$D$41, 2, FALSE), "Merchant not found")</f>
        <v>Merchant_016</v>
      </c>
      <c r="J131" t="str">
        <f>IFERROR(VLOOKUP(C131, merchants!$A$2:$D$41, 3, FALSE), "Merchant not found")</f>
        <v>bill_payment</v>
      </c>
      <c r="K131" t="str">
        <f>IFERROR(VLOOKUP(C131, merchants!$A$2:$D$41, 4, FALSE), "Merchant not found")</f>
        <v>West</v>
      </c>
      <c r="L131" s="2">
        <f>HLOOKUP(F131, merchants!$F$1:$I$2, 2, FALSE)</f>
        <v>0.02</v>
      </c>
      <c r="M131" t="str">
        <f t="shared" ref="M131:M194" si="4">IF(AND(SUMIFS($E:$E, $C:$C, C131, $D:$D, "&gt;="&amp;INT(D131), $D:$D, "&lt;"&amp;INT(D131)+1) &gt; 5000, K131 &lt;&gt; "East"), "High-Value Day", "Regular")</f>
        <v>Regular</v>
      </c>
      <c r="N131" s="5">
        <f t="shared" ref="N131:N194" si="5">INT(D131)</f>
        <v>46052</v>
      </c>
    </row>
    <row r="132" spans="1:14" x14ac:dyDescent="0.3">
      <c r="A132" t="s">
        <v>145</v>
      </c>
      <c r="B132">
        <v>211</v>
      </c>
      <c r="C132">
        <v>3</v>
      </c>
      <c r="D132" s="1">
        <v>46035.32916666667</v>
      </c>
      <c r="E132">
        <v>149</v>
      </c>
      <c r="F132" t="s">
        <v>12</v>
      </c>
      <c r="G132" t="s">
        <v>38</v>
      </c>
      <c r="H132">
        <v>40</v>
      </c>
      <c r="I132" t="str">
        <f>IFERROR(VLOOKUP(C132, merchants!$A$2:$D$41, 2, FALSE), "Merchant not found")</f>
        <v>Merchant_003</v>
      </c>
      <c r="J132" t="str">
        <f>IFERROR(VLOOKUP(C132, merchants!$A$2:$D$41, 3, FALSE), "Merchant not found")</f>
        <v>grocery</v>
      </c>
      <c r="K132" t="str">
        <f>IFERROR(VLOOKUP(C132, merchants!$A$2:$D$41, 4, FALSE), "Merchant not found")</f>
        <v>East</v>
      </c>
      <c r="L132" s="2">
        <f>HLOOKUP(F132, merchants!$F$1:$I$2, 2, FALSE)</f>
        <v>0</v>
      </c>
      <c r="M132" t="str">
        <f t="shared" si="4"/>
        <v>Regular</v>
      </c>
      <c r="N132" s="5">
        <f t="shared" si="5"/>
        <v>46035</v>
      </c>
    </row>
    <row r="133" spans="1:14" x14ac:dyDescent="0.3">
      <c r="A133" t="s">
        <v>146</v>
      </c>
      <c r="B133">
        <v>196</v>
      </c>
      <c r="C133">
        <v>25</v>
      </c>
      <c r="D133" s="1">
        <v>46046.65625</v>
      </c>
      <c r="E133">
        <v>149</v>
      </c>
      <c r="F133" t="s">
        <v>15</v>
      </c>
      <c r="G133" t="s">
        <v>10</v>
      </c>
      <c r="H133">
        <v>84</v>
      </c>
      <c r="I133" t="str">
        <f>IFERROR(VLOOKUP(C133, merchants!$A$2:$D$41, 2, FALSE), "Merchant not found")</f>
        <v>Merchant_025</v>
      </c>
      <c r="J133" t="str">
        <f>IFERROR(VLOOKUP(C133, merchants!$A$2:$D$41, 3, FALSE), "Merchant not found")</f>
        <v>travel</v>
      </c>
      <c r="K133" t="str">
        <f>IFERROR(VLOOKUP(C133, merchants!$A$2:$D$41, 4, FALSE), "Merchant not found")</f>
        <v>South</v>
      </c>
      <c r="L133" s="2">
        <f>HLOOKUP(F133, merchants!$F$1:$I$2, 2, FALSE)</f>
        <v>1.7999999999999999E-2</v>
      </c>
      <c r="M133" t="str">
        <f t="shared" si="4"/>
        <v>Regular</v>
      </c>
      <c r="N133" s="5">
        <f t="shared" si="5"/>
        <v>46046</v>
      </c>
    </row>
    <row r="134" spans="1:14" x14ac:dyDescent="0.3">
      <c r="A134" t="s">
        <v>147</v>
      </c>
      <c r="B134">
        <v>254</v>
      </c>
      <c r="C134">
        <v>3</v>
      </c>
      <c r="D134" s="1">
        <v>46048.839583333334</v>
      </c>
      <c r="E134">
        <v>149</v>
      </c>
      <c r="F134" t="s">
        <v>24</v>
      </c>
      <c r="G134" t="s">
        <v>10</v>
      </c>
      <c r="H134">
        <v>16</v>
      </c>
      <c r="I134" t="str">
        <f>IFERROR(VLOOKUP(C134, merchants!$A$2:$D$41, 2, FALSE), "Merchant not found")</f>
        <v>Merchant_003</v>
      </c>
      <c r="J134" t="str">
        <f>IFERROR(VLOOKUP(C134, merchants!$A$2:$D$41, 3, FALSE), "Merchant not found")</f>
        <v>grocery</v>
      </c>
      <c r="K134" t="str">
        <f>IFERROR(VLOOKUP(C134, merchants!$A$2:$D$41, 4, FALSE), "Merchant not found")</f>
        <v>East</v>
      </c>
      <c r="L134" s="2">
        <f>HLOOKUP(F134, merchants!$F$1:$I$2, 2, FALSE)</f>
        <v>0.02</v>
      </c>
      <c r="M134" t="str">
        <f t="shared" si="4"/>
        <v>Regular</v>
      </c>
      <c r="N134" s="5">
        <f t="shared" si="5"/>
        <v>46048</v>
      </c>
    </row>
    <row r="135" spans="1:14" x14ac:dyDescent="0.3">
      <c r="A135" t="s">
        <v>148</v>
      </c>
      <c r="B135">
        <v>52</v>
      </c>
      <c r="C135">
        <v>29</v>
      </c>
      <c r="D135" s="1">
        <v>46039.76458333333</v>
      </c>
      <c r="E135">
        <v>49</v>
      </c>
      <c r="F135" t="s">
        <v>15</v>
      </c>
      <c r="G135" t="s">
        <v>10</v>
      </c>
      <c r="H135">
        <v>12</v>
      </c>
      <c r="I135" t="str">
        <f>IFERROR(VLOOKUP(C135, merchants!$A$2:$D$41, 2, FALSE), "Merchant not found")</f>
        <v>Merchant_029</v>
      </c>
      <c r="J135" t="str">
        <f>IFERROR(VLOOKUP(C135, merchants!$A$2:$D$41, 3, FALSE), "Merchant not found")</f>
        <v>ecommerce</v>
      </c>
      <c r="K135" t="str">
        <f>IFERROR(VLOOKUP(C135, merchants!$A$2:$D$41, 4, FALSE), "Merchant not found")</f>
        <v>North</v>
      </c>
      <c r="L135" s="2">
        <f>HLOOKUP(F135, merchants!$F$1:$I$2, 2, FALSE)</f>
        <v>1.7999999999999999E-2</v>
      </c>
      <c r="M135" t="str">
        <f t="shared" si="4"/>
        <v>Regular</v>
      </c>
      <c r="N135" s="5">
        <f t="shared" si="5"/>
        <v>46039</v>
      </c>
    </row>
    <row r="136" spans="1:14" x14ac:dyDescent="0.3">
      <c r="A136" t="s">
        <v>149</v>
      </c>
      <c r="B136">
        <v>74</v>
      </c>
      <c r="C136">
        <v>27</v>
      </c>
      <c r="D136" s="1">
        <v>46039.583333333336</v>
      </c>
      <c r="E136">
        <v>799</v>
      </c>
      <c r="F136" t="s">
        <v>12</v>
      </c>
      <c r="G136" t="s">
        <v>10</v>
      </c>
      <c r="H136">
        <v>83</v>
      </c>
      <c r="I136" t="str">
        <f>IFERROR(VLOOKUP(C136, merchants!$A$2:$D$41, 2, FALSE), "Merchant not found")</f>
        <v>Merchant_027</v>
      </c>
      <c r="J136" t="str">
        <f>IFERROR(VLOOKUP(C136, merchants!$A$2:$D$41, 3, FALSE), "Merchant not found")</f>
        <v>ecommerce</v>
      </c>
      <c r="K136" t="str">
        <f>IFERROR(VLOOKUP(C136, merchants!$A$2:$D$41, 4, FALSE), "Merchant not found")</f>
        <v>North</v>
      </c>
      <c r="L136" s="2">
        <f>HLOOKUP(F136, merchants!$F$1:$I$2, 2, FALSE)</f>
        <v>0</v>
      </c>
      <c r="M136" t="str">
        <f t="shared" si="4"/>
        <v>Regular</v>
      </c>
      <c r="N136" s="5">
        <f t="shared" si="5"/>
        <v>46039</v>
      </c>
    </row>
    <row r="137" spans="1:14" x14ac:dyDescent="0.3">
      <c r="A137" t="s">
        <v>150</v>
      </c>
      <c r="B137">
        <v>136</v>
      </c>
      <c r="C137">
        <v>22</v>
      </c>
      <c r="D137" s="1">
        <v>46027.104166666664</v>
      </c>
      <c r="E137">
        <v>149</v>
      </c>
      <c r="F137" t="s">
        <v>12</v>
      </c>
      <c r="G137" t="s">
        <v>10</v>
      </c>
      <c r="H137">
        <v>79</v>
      </c>
      <c r="I137" t="str">
        <f>IFERROR(VLOOKUP(C137, merchants!$A$2:$D$41, 2, FALSE), "Merchant not found")</f>
        <v>Merchant_022</v>
      </c>
      <c r="J137" t="str">
        <f>IFERROR(VLOOKUP(C137, merchants!$A$2:$D$41, 3, FALSE), "Merchant not found")</f>
        <v>travel</v>
      </c>
      <c r="K137" t="str">
        <f>IFERROR(VLOOKUP(C137, merchants!$A$2:$D$41, 4, FALSE), "Merchant not found")</f>
        <v>South</v>
      </c>
      <c r="L137" s="2">
        <f>HLOOKUP(F137, merchants!$F$1:$I$2, 2, FALSE)</f>
        <v>0</v>
      </c>
      <c r="M137" t="str">
        <f t="shared" si="4"/>
        <v>Regular</v>
      </c>
      <c r="N137" s="5">
        <f t="shared" si="5"/>
        <v>46027</v>
      </c>
    </row>
    <row r="138" spans="1:14" x14ac:dyDescent="0.3">
      <c r="A138" t="s">
        <v>151</v>
      </c>
      <c r="B138">
        <v>42</v>
      </c>
      <c r="C138">
        <v>22</v>
      </c>
      <c r="D138" s="1">
        <v>46045.52847222222</v>
      </c>
      <c r="E138">
        <v>49</v>
      </c>
      <c r="F138" t="s">
        <v>12</v>
      </c>
      <c r="G138" t="s">
        <v>10</v>
      </c>
      <c r="H138">
        <v>86</v>
      </c>
      <c r="I138" t="str">
        <f>IFERROR(VLOOKUP(C138, merchants!$A$2:$D$41, 2, FALSE), "Merchant not found")</f>
        <v>Merchant_022</v>
      </c>
      <c r="J138" t="str">
        <f>IFERROR(VLOOKUP(C138, merchants!$A$2:$D$41, 3, FALSE), "Merchant not found")</f>
        <v>travel</v>
      </c>
      <c r="K138" t="str">
        <f>IFERROR(VLOOKUP(C138, merchants!$A$2:$D$41, 4, FALSE), "Merchant not found")</f>
        <v>South</v>
      </c>
      <c r="L138" s="2">
        <f>HLOOKUP(F138, merchants!$F$1:$I$2, 2, FALSE)</f>
        <v>0</v>
      </c>
      <c r="M138" t="str">
        <f t="shared" si="4"/>
        <v>Regular</v>
      </c>
      <c r="N138" s="5">
        <f t="shared" si="5"/>
        <v>46045</v>
      </c>
    </row>
    <row r="139" spans="1:14" x14ac:dyDescent="0.3">
      <c r="A139" t="s">
        <v>152</v>
      </c>
      <c r="B139">
        <v>163</v>
      </c>
      <c r="C139">
        <v>32</v>
      </c>
      <c r="D139" s="1">
        <v>46050.724999999999</v>
      </c>
      <c r="E139">
        <v>2999</v>
      </c>
      <c r="F139" t="s">
        <v>9</v>
      </c>
      <c r="G139" t="s">
        <v>25</v>
      </c>
      <c r="H139">
        <v>69</v>
      </c>
      <c r="I139" t="str">
        <f>IFERROR(VLOOKUP(C139, merchants!$A$2:$D$41, 2, FALSE), "Merchant not found")</f>
        <v>Merchant_032</v>
      </c>
      <c r="J139" t="str">
        <f>IFERROR(VLOOKUP(C139, merchants!$A$2:$D$41, 3, FALSE), "Merchant not found")</f>
        <v>food_delivery</v>
      </c>
      <c r="K139" t="str">
        <f>IFERROR(VLOOKUP(C139, merchants!$A$2:$D$41, 4, FALSE), "Merchant not found")</f>
        <v>West</v>
      </c>
      <c r="L139" s="2">
        <f>HLOOKUP(F139, merchants!$F$1:$I$2, 2, FALSE)</f>
        <v>1.4999999999999999E-2</v>
      </c>
      <c r="M139" t="str">
        <f t="shared" si="4"/>
        <v>Regular</v>
      </c>
      <c r="N139" s="5">
        <f t="shared" si="5"/>
        <v>46050</v>
      </c>
    </row>
    <row r="140" spans="1:14" x14ac:dyDescent="0.3">
      <c r="A140" t="s">
        <v>153</v>
      </c>
      <c r="B140">
        <v>121</v>
      </c>
      <c r="C140">
        <v>19</v>
      </c>
      <c r="D140" s="1">
        <v>46024.794444444444</v>
      </c>
      <c r="E140">
        <v>149</v>
      </c>
      <c r="F140" t="s">
        <v>12</v>
      </c>
      <c r="G140" t="s">
        <v>10</v>
      </c>
      <c r="H140">
        <v>29</v>
      </c>
      <c r="I140" t="str">
        <f>IFERROR(VLOOKUP(C140, merchants!$A$2:$D$41, 2, FALSE), "Merchant not found")</f>
        <v>Merchant_019</v>
      </c>
      <c r="J140" t="str">
        <f>IFERROR(VLOOKUP(C140, merchants!$A$2:$D$41, 3, FALSE), "Merchant not found")</f>
        <v>grocery</v>
      </c>
      <c r="K140" t="str">
        <f>IFERROR(VLOOKUP(C140, merchants!$A$2:$D$41, 4, FALSE), "Merchant not found")</f>
        <v>North</v>
      </c>
      <c r="L140" s="2">
        <f>HLOOKUP(F140, merchants!$F$1:$I$2, 2, FALSE)</f>
        <v>0</v>
      </c>
      <c r="M140" t="str">
        <f t="shared" si="4"/>
        <v>Regular</v>
      </c>
      <c r="N140" s="5">
        <f t="shared" si="5"/>
        <v>46024</v>
      </c>
    </row>
    <row r="141" spans="1:14" x14ac:dyDescent="0.3">
      <c r="A141" t="s">
        <v>154</v>
      </c>
      <c r="B141">
        <v>51</v>
      </c>
      <c r="C141">
        <v>7</v>
      </c>
      <c r="D141" s="1">
        <v>46046.102083333331</v>
      </c>
      <c r="E141">
        <v>499</v>
      </c>
      <c r="F141" t="s">
        <v>24</v>
      </c>
      <c r="G141" t="s">
        <v>10</v>
      </c>
      <c r="H141">
        <v>56</v>
      </c>
      <c r="I141" t="str">
        <f>IFERROR(VLOOKUP(C141, merchants!$A$2:$D$41, 2, FALSE), "Merchant not found")</f>
        <v>Merchant_007</v>
      </c>
      <c r="J141" t="str">
        <f>IFERROR(VLOOKUP(C141, merchants!$A$2:$D$41, 3, FALSE), "Merchant not found")</f>
        <v>food_delivery</v>
      </c>
      <c r="K141" t="str">
        <f>IFERROR(VLOOKUP(C141, merchants!$A$2:$D$41, 4, FALSE), "Merchant not found")</f>
        <v>East</v>
      </c>
      <c r="L141" s="2">
        <f>HLOOKUP(F141, merchants!$F$1:$I$2, 2, FALSE)</f>
        <v>0.02</v>
      </c>
      <c r="M141" t="str">
        <f t="shared" si="4"/>
        <v>Regular</v>
      </c>
      <c r="N141" s="5">
        <f t="shared" si="5"/>
        <v>46046</v>
      </c>
    </row>
    <row r="142" spans="1:14" x14ac:dyDescent="0.3">
      <c r="A142" t="s">
        <v>155</v>
      </c>
      <c r="B142">
        <v>15</v>
      </c>
      <c r="C142">
        <v>3</v>
      </c>
      <c r="D142" s="1">
        <v>46028.929861111108</v>
      </c>
      <c r="E142">
        <v>799</v>
      </c>
      <c r="F142" t="s">
        <v>12</v>
      </c>
      <c r="G142" t="s">
        <v>10</v>
      </c>
      <c r="H142">
        <v>41</v>
      </c>
      <c r="I142" t="str">
        <f>IFERROR(VLOOKUP(C142, merchants!$A$2:$D$41, 2, FALSE), "Merchant not found")</f>
        <v>Merchant_003</v>
      </c>
      <c r="J142" t="str">
        <f>IFERROR(VLOOKUP(C142, merchants!$A$2:$D$41, 3, FALSE), "Merchant not found")</f>
        <v>grocery</v>
      </c>
      <c r="K142" t="str">
        <f>IFERROR(VLOOKUP(C142, merchants!$A$2:$D$41, 4, FALSE), "Merchant not found")</f>
        <v>East</v>
      </c>
      <c r="L142" s="2">
        <f>HLOOKUP(F142, merchants!$F$1:$I$2, 2, FALSE)</f>
        <v>0</v>
      </c>
      <c r="M142" t="str">
        <f t="shared" si="4"/>
        <v>Regular</v>
      </c>
      <c r="N142" s="5">
        <f t="shared" si="5"/>
        <v>46028</v>
      </c>
    </row>
    <row r="143" spans="1:14" x14ac:dyDescent="0.3">
      <c r="A143" t="s">
        <v>156</v>
      </c>
      <c r="B143">
        <v>184</v>
      </c>
      <c r="C143">
        <v>24</v>
      </c>
      <c r="D143" s="1">
        <v>46048.054166666669</v>
      </c>
      <c r="E143">
        <v>49</v>
      </c>
      <c r="F143" t="s">
        <v>12</v>
      </c>
      <c r="G143" t="s">
        <v>10</v>
      </c>
      <c r="H143">
        <v>55</v>
      </c>
      <c r="I143" t="str">
        <f>IFERROR(VLOOKUP(C143, merchants!$A$2:$D$41, 2, FALSE), "Merchant not found")</f>
        <v>Merchant_024</v>
      </c>
      <c r="J143" t="str">
        <f>IFERROR(VLOOKUP(C143, merchants!$A$2:$D$41, 3, FALSE), "Merchant not found")</f>
        <v>grocery</v>
      </c>
      <c r="K143" t="str">
        <f>IFERROR(VLOOKUP(C143, merchants!$A$2:$D$41, 4, FALSE), "Merchant not found")</f>
        <v>North</v>
      </c>
      <c r="L143" s="2">
        <f>HLOOKUP(F143, merchants!$F$1:$I$2, 2, FALSE)</f>
        <v>0</v>
      </c>
      <c r="M143" t="str">
        <f t="shared" si="4"/>
        <v>Regular</v>
      </c>
      <c r="N143" s="5">
        <f t="shared" si="5"/>
        <v>46048</v>
      </c>
    </row>
    <row r="144" spans="1:14" x14ac:dyDescent="0.3">
      <c r="A144" t="s">
        <v>157</v>
      </c>
      <c r="B144">
        <v>211</v>
      </c>
      <c r="C144">
        <v>37</v>
      </c>
      <c r="D144" s="1">
        <v>46027.314583333333</v>
      </c>
      <c r="E144">
        <v>1499</v>
      </c>
      <c r="F144" t="s">
        <v>12</v>
      </c>
      <c r="G144" t="s">
        <v>10</v>
      </c>
      <c r="H144">
        <v>87</v>
      </c>
      <c r="I144" t="str">
        <f>IFERROR(VLOOKUP(C144, merchants!$A$2:$D$41, 2, FALSE), "Merchant not found")</f>
        <v>Merchant_037</v>
      </c>
      <c r="J144" t="str">
        <f>IFERROR(VLOOKUP(C144, merchants!$A$2:$D$41, 3, FALSE), "Merchant not found")</f>
        <v>entertainment</v>
      </c>
      <c r="K144" t="str">
        <f>IFERROR(VLOOKUP(C144, merchants!$A$2:$D$41, 4, FALSE), "Merchant not found")</f>
        <v>South</v>
      </c>
      <c r="L144" s="2">
        <f>HLOOKUP(F144, merchants!$F$1:$I$2, 2, FALSE)</f>
        <v>0</v>
      </c>
      <c r="M144" t="str">
        <f t="shared" si="4"/>
        <v>Regular</v>
      </c>
      <c r="N144" s="5">
        <f t="shared" si="5"/>
        <v>46027</v>
      </c>
    </row>
    <row r="145" spans="1:14" x14ac:dyDescent="0.3">
      <c r="A145" t="s">
        <v>158</v>
      </c>
      <c r="B145">
        <v>90</v>
      </c>
      <c r="C145">
        <v>6</v>
      </c>
      <c r="D145" s="1">
        <v>46048.215277777781</v>
      </c>
      <c r="E145">
        <v>49</v>
      </c>
      <c r="F145" t="s">
        <v>24</v>
      </c>
      <c r="G145" t="s">
        <v>10</v>
      </c>
      <c r="H145">
        <v>78</v>
      </c>
      <c r="I145" t="str">
        <f>IFERROR(VLOOKUP(C145, merchants!$A$2:$D$41, 2, FALSE), "Merchant not found")</f>
        <v>Merchant_006</v>
      </c>
      <c r="J145" t="str">
        <f>IFERROR(VLOOKUP(C145, merchants!$A$2:$D$41, 3, FALSE), "Merchant not found")</f>
        <v>food_delivery</v>
      </c>
      <c r="K145" t="str">
        <f>IFERROR(VLOOKUP(C145, merchants!$A$2:$D$41, 4, FALSE), "Merchant not found")</f>
        <v>South</v>
      </c>
      <c r="L145" s="2">
        <f>HLOOKUP(F145, merchants!$F$1:$I$2, 2, FALSE)</f>
        <v>0.02</v>
      </c>
      <c r="M145" t="str">
        <f t="shared" si="4"/>
        <v>Regular</v>
      </c>
      <c r="N145" s="5">
        <f t="shared" si="5"/>
        <v>46048</v>
      </c>
    </row>
    <row r="146" spans="1:14" x14ac:dyDescent="0.3">
      <c r="A146" t="s">
        <v>159</v>
      </c>
      <c r="B146">
        <v>350</v>
      </c>
      <c r="C146">
        <v>16</v>
      </c>
      <c r="D146" s="1">
        <v>46050.527083333334</v>
      </c>
      <c r="E146">
        <v>49</v>
      </c>
      <c r="F146" t="s">
        <v>12</v>
      </c>
      <c r="G146" t="s">
        <v>10</v>
      </c>
      <c r="H146">
        <v>63</v>
      </c>
      <c r="I146" t="str">
        <f>IFERROR(VLOOKUP(C146, merchants!$A$2:$D$41, 2, FALSE), "Merchant not found")</f>
        <v>Merchant_016</v>
      </c>
      <c r="J146" t="str">
        <f>IFERROR(VLOOKUP(C146, merchants!$A$2:$D$41, 3, FALSE), "Merchant not found")</f>
        <v>bill_payment</v>
      </c>
      <c r="K146" t="str">
        <f>IFERROR(VLOOKUP(C146, merchants!$A$2:$D$41, 4, FALSE), "Merchant not found")</f>
        <v>West</v>
      </c>
      <c r="L146" s="2">
        <f>HLOOKUP(F146, merchants!$F$1:$I$2, 2, FALSE)</f>
        <v>0</v>
      </c>
      <c r="M146" t="str">
        <f t="shared" si="4"/>
        <v>Regular</v>
      </c>
      <c r="N146" s="5">
        <f t="shared" si="5"/>
        <v>46050</v>
      </c>
    </row>
    <row r="147" spans="1:14" x14ac:dyDescent="0.3">
      <c r="A147" t="s">
        <v>160</v>
      </c>
      <c r="B147">
        <v>119</v>
      </c>
      <c r="C147">
        <v>30</v>
      </c>
      <c r="D147" s="1">
        <v>46052.756249999999</v>
      </c>
      <c r="E147">
        <v>49</v>
      </c>
      <c r="F147" t="s">
        <v>24</v>
      </c>
      <c r="G147" t="s">
        <v>10</v>
      </c>
      <c r="H147">
        <v>81</v>
      </c>
      <c r="I147" t="str">
        <f>IFERROR(VLOOKUP(C147, merchants!$A$2:$D$41, 2, FALSE), "Merchant not found")</f>
        <v>Merchant_030</v>
      </c>
      <c r="J147" t="str">
        <f>IFERROR(VLOOKUP(C147, merchants!$A$2:$D$41, 3, FALSE), "Merchant not found")</f>
        <v>travel</v>
      </c>
      <c r="K147" t="str">
        <f>IFERROR(VLOOKUP(C147, merchants!$A$2:$D$41, 4, FALSE), "Merchant not found")</f>
        <v>West</v>
      </c>
      <c r="L147" s="2">
        <f>HLOOKUP(F147, merchants!$F$1:$I$2, 2, FALSE)</f>
        <v>0.02</v>
      </c>
      <c r="M147" t="str">
        <f t="shared" si="4"/>
        <v>Regular</v>
      </c>
      <c r="N147" s="5">
        <f t="shared" si="5"/>
        <v>46052</v>
      </c>
    </row>
    <row r="148" spans="1:14" x14ac:dyDescent="0.3">
      <c r="A148" t="s">
        <v>161</v>
      </c>
      <c r="B148">
        <v>342</v>
      </c>
      <c r="C148">
        <v>1</v>
      </c>
      <c r="D148" s="1">
        <v>46031.594444444447</v>
      </c>
      <c r="E148">
        <v>49</v>
      </c>
      <c r="F148" t="s">
        <v>12</v>
      </c>
      <c r="G148" t="s">
        <v>10</v>
      </c>
      <c r="H148">
        <v>59</v>
      </c>
      <c r="I148" t="str">
        <f>IFERROR(VLOOKUP(C148, merchants!$A$2:$D$41, 2, FALSE), "Merchant not found")</f>
        <v>Merchant_001</v>
      </c>
      <c r="J148" t="str">
        <f>IFERROR(VLOOKUP(C148, merchants!$A$2:$D$41, 3, FALSE), "Merchant not found")</f>
        <v>ecommerce</v>
      </c>
      <c r="K148" t="str">
        <f>IFERROR(VLOOKUP(C148, merchants!$A$2:$D$41, 4, FALSE), "Merchant not found")</f>
        <v>South</v>
      </c>
      <c r="L148" s="2">
        <f>HLOOKUP(F148, merchants!$F$1:$I$2, 2, FALSE)</f>
        <v>0</v>
      </c>
      <c r="M148" t="str">
        <f t="shared" si="4"/>
        <v>High-Value Day</v>
      </c>
      <c r="N148" s="5">
        <f t="shared" si="5"/>
        <v>46031</v>
      </c>
    </row>
    <row r="149" spans="1:14" x14ac:dyDescent="0.3">
      <c r="A149" t="s">
        <v>162</v>
      </c>
      <c r="B149">
        <v>280</v>
      </c>
      <c r="C149">
        <v>11</v>
      </c>
      <c r="D149" s="1">
        <v>46051.404861111114</v>
      </c>
      <c r="E149">
        <v>149</v>
      </c>
      <c r="F149" t="s">
        <v>12</v>
      </c>
      <c r="G149" t="s">
        <v>38</v>
      </c>
      <c r="H149">
        <v>9</v>
      </c>
      <c r="I149" t="str">
        <f>IFERROR(VLOOKUP(C149, merchants!$A$2:$D$41, 2, FALSE), "Merchant not found")</f>
        <v>Merchant_011</v>
      </c>
      <c r="J149" t="str">
        <f>IFERROR(VLOOKUP(C149, merchants!$A$2:$D$41, 3, FALSE), "Merchant not found")</f>
        <v>ecommerce</v>
      </c>
      <c r="K149" t="str">
        <f>IFERROR(VLOOKUP(C149, merchants!$A$2:$D$41, 4, FALSE), "Merchant not found")</f>
        <v>North</v>
      </c>
      <c r="L149" s="2">
        <f>HLOOKUP(F149, merchants!$F$1:$I$2, 2, FALSE)</f>
        <v>0</v>
      </c>
      <c r="M149" t="str">
        <f t="shared" si="4"/>
        <v>Regular</v>
      </c>
      <c r="N149" s="5">
        <f t="shared" si="5"/>
        <v>46051</v>
      </c>
    </row>
    <row r="150" spans="1:14" x14ac:dyDescent="0.3">
      <c r="A150" t="s">
        <v>163</v>
      </c>
      <c r="B150">
        <v>154</v>
      </c>
      <c r="C150">
        <v>28</v>
      </c>
      <c r="D150" s="1">
        <v>46037.484027777777</v>
      </c>
      <c r="E150">
        <v>2999</v>
      </c>
      <c r="F150" t="s">
        <v>15</v>
      </c>
      <c r="G150" t="s">
        <v>10</v>
      </c>
      <c r="H150">
        <v>88</v>
      </c>
      <c r="I150" t="str">
        <f>IFERROR(VLOOKUP(C150, merchants!$A$2:$D$41, 2, FALSE), "Merchant not found")</f>
        <v>Merchant_028</v>
      </c>
      <c r="J150" t="str">
        <f>IFERROR(VLOOKUP(C150, merchants!$A$2:$D$41, 3, FALSE), "Merchant not found")</f>
        <v>ecommerce</v>
      </c>
      <c r="K150" t="str">
        <f>IFERROR(VLOOKUP(C150, merchants!$A$2:$D$41, 4, FALSE), "Merchant not found")</f>
        <v>South</v>
      </c>
      <c r="L150" s="2">
        <f>HLOOKUP(F150, merchants!$F$1:$I$2, 2, FALSE)</f>
        <v>1.7999999999999999E-2</v>
      </c>
      <c r="M150" t="str">
        <f t="shared" si="4"/>
        <v>Regular</v>
      </c>
      <c r="N150" s="5">
        <f t="shared" si="5"/>
        <v>46037</v>
      </c>
    </row>
    <row r="151" spans="1:14" x14ac:dyDescent="0.3">
      <c r="A151" t="s">
        <v>164</v>
      </c>
      <c r="B151">
        <v>155</v>
      </c>
      <c r="C151">
        <v>13</v>
      </c>
      <c r="D151" s="1">
        <v>46031.620833333334</v>
      </c>
      <c r="E151">
        <v>149</v>
      </c>
      <c r="F151" t="s">
        <v>12</v>
      </c>
      <c r="G151" t="s">
        <v>10</v>
      </c>
      <c r="H151">
        <v>49</v>
      </c>
      <c r="I151" t="str">
        <f>IFERROR(VLOOKUP(C151, merchants!$A$2:$D$41, 2, FALSE), "Merchant not found")</f>
        <v>Merchant_013</v>
      </c>
      <c r="J151" t="str">
        <f>IFERROR(VLOOKUP(C151, merchants!$A$2:$D$41, 3, FALSE), "Merchant not found")</f>
        <v>travel</v>
      </c>
      <c r="K151" t="str">
        <f>IFERROR(VLOOKUP(C151, merchants!$A$2:$D$41, 4, FALSE), "Merchant not found")</f>
        <v>East</v>
      </c>
      <c r="L151" s="2">
        <f>HLOOKUP(F151, merchants!$F$1:$I$2, 2, FALSE)</f>
        <v>0</v>
      </c>
      <c r="M151" t="str">
        <f t="shared" si="4"/>
        <v>Regular</v>
      </c>
      <c r="N151" s="5">
        <f t="shared" si="5"/>
        <v>46031</v>
      </c>
    </row>
    <row r="152" spans="1:14" x14ac:dyDescent="0.3">
      <c r="A152" t="s">
        <v>165</v>
      </c>
      <c r="B152">
        <v>122</v>
      </c>
      <c r="C152">
        <v>25</v>
      </c>
      <c r="D152" s="1">
        <v>46050.629166666666</v>
      </c>
      <c r="E152">
        <v>299</v>
      </c>
      <c r="F152" t="s">
        <v>12</v>
      </c>
      <c r="G152" t="s">
        <v>10</v>
      </c>
      <c r="H152">
        <v>73</v>
      </c>
      <c r="I152" t="str">
        <f>IFERROR(VLOOKUP(C152, merchants!$A$2:$D$41, 2, FALSE), "Merchant not found")</f>
        <v>Merchant_025</v>
      </c>
      <c r="J152" t="str">
        <f>IFERROR(VLOOKUP(C152, merchants!$A$2:$D$41, 3, FALSE), "Merchant not found")</f>
        <v>travel</v>
      </c>
      <c r="K152" t="str">
        <f>IFERROR(VLOOKUP(C152, merchants!$A$2:$D$41, 4, FALSE), "Merchant not found")</f>
        <v>South</v>
      </c>
      <c r="L152" s="2">
        <f>HLOOKUP(F152, merchants!$F$1:$I$2, 2, FALSE)</f>
        <v>0</v>
      </c>
      <c r="M152" t="str">
        <f t="shared" si="4"/>
        <v>Regular</v>
      </c>
      <c r="N152" s="5">
        <f t="shared" si="5"/>
        <v>46050</v>
      </c>
    </row>
    <row r="153" spans="1:14" x14ac:dyDescent="0.3">
      <c r="A153" t="s">
        <v>166</v>
      </c>
      <c r="B153">
        <v>152</v>
      </c>
      <c r="C153">
        <v>2</v>
      </c>
      <c r="D153" s="1">
        <v>46034.762499999997</v>
      </c>
      <c r="E153">
        <v>49</v>
      </c>
      <c r="F153" t="s">
        <v>12</v>
      </c>
      <c r="G153" t="s">
        <v>10</v>
      </c>
      <c r="H153">
        <v>84</v>
      </c>
      <c r="I153" t="str">
        <f>IFERROR(VLOOKUP(C153, merchants!$A$2:$D$41, 2, FALSE), "Merchant not found")</f>
        <v>Merchant_002</v>
      </c>
      <c r="J153" t="str">
        <f>IFERROR(VLOOKUP(C153, merchants!$A$2:$D$41, 3, FALSE), "Merchant not found")</f>
        <v>grocery</v>
      </c>
      <c r="K153" t="str">
        <f>IFERROR(VLOOKUP(C153, merchants!$A$2:$D$41, 4, FALSE), "Merchant not found")</f>
        <v>West</v>
      </c>
      <c r="L153" s="2">
        <f>HLOOKUP(F153, merchants!$F$1:$I$2, 2, FALSE)</f>
        <v>0</v>
      </c>
      <c r="M153" t="str">
        <f t="shared" si="4"/>
        <v>Regular</v>
      </c>
      <c r="N153" s="5">
        <f t="shared" si="5"/>
        <v>46034</v>
      </c>
    </row>
    <row r="154" spans="1:14" x14ac:dyDescent="0.3">
      <c r="A154" t="s">
        <v>167</v>
      </c>
      <c r="B154">
        <v>290</v>
      </c>
      <c r="C154">
        <v>4</v>
      </c>
      <c r="D154" s="1">
        <v>46035.333333333336</v>
      </c>
      <c r="E154">
        <v>149</v>
      </c>
      <c r="F154" t="s">
        <v>12</v>
      </c>
      <c r="G154" t="s">
        <v>10</v>
      </c>
      <c r="H154">
        <v>77</v>
      </c>
      <c r="I154" t="str">
        <f>IFERROR(VLOOKUP(C154, merchants!$A$2:$D$41, 2, FALSE), "Merchant not found")</f>
        <v>Merchant_004</v>
      </c>
      <c r="J154" t="str">
        <f>IFERROR(VLOOKUP(C154, merchants!$A$2:$D$41, 3, FALSE), "Merchant not found")</f>
        <v>ecommerce</v>
      </c>
      <c r="K154" t="str">
        <f>IFERROR(VLOOKUP(C154, merchants!$A$2:$D$41, 4, FALSE), "Merchant not found")</f>
        <v>East</v>
      </c>
      <c r="L154" s="2">
        <f>HLOOKUP(F154, merchants!$F$1:$I$2, 2, FALSE)</f>
        <v>0</v>
      </c>
      <c r="M154" t="str">
        <f t="shared" si="4"/>
        <v>Regular</v>
      </c>
      <c r="N154" s="5">
        <f t="shared" si="5"/>
        <v>46035</v>
      </c>
    </row>
    <row r="155" spans="1:14" x14ac:dyDescent="0.3">
      <c r="A155" t="s">
        <v>168</v>
      </c>
      <c r="B155">
        <v>147</v>
      </c>
      <c r="C155">
        <v>15</v>
      </c>
      <c r="D155" s="1">
        <v>46046.661805555559</v>
      </c>
      <c r="E155">
        <v>49</v>
      </c>
      <c r="F155" t="s">
        <v>9</v>
      </c>
      <c r="G155" t="s">
        <v>10</v>
      </c>
      <c r="H155">
        <v>77</v>
      </c>
      <c r="I155" t="str">
        <f>IFERROR(VLOOKUP(C155, merchants!$A$2:$D$41, 2, FALSE), "Merchant not found")</f>
        <v>Merchant_015</v>
      </c>
      <c r="J155" t="str">
        <f>IFERROR(VLOOKUP(C155, merchants!$A$2:$D$41, 3, FALSE), "Merchant not found")</f>
        <v>travel</v>
      </c>
      <c r="K155" t="str">
        <f>IFERROR(VLOOKUP(C155, merchants!$A$2:$D$41, 4, FALSE), "Merchant not found")</f>
        <v>North</v>
      </c>
      <c r="L155" s="2">
        <f>HLOOKUP(F155, merchants!$F$1:$I$2, 2, FALSE)</f>
        <v>1.4999999999999999E-2</v>
      </c>
      <c r="M155" t="str">
        <f t="shared" si="4"/>
        <v>Regular</v>
      </c>
      <c r="N155" s="5">
        <f t="shared" si="5"/>
        <v>46046</v>
      </c>
    </row>
    <row r="156" spans="1:14" x14ac:dyDescent="0.3">
      <c r="A156" t="s">
        <v>169</v>
      </c>
      <c r="B156">
        <v>326</v>
      </c>
      <c r="C156">
        <v>13</v>
      </c>
      <c r="D156" s="1">
        <v>46048.468055555553</v>
      </c>
      <c r="E156">
        <v>299</v>
      </c>
      <c r="F156" t="s">
        <v>15</v>
      </c>
      <c r="G156" t="s">
        <v>10</v>
      </c>
      <c r="H156">
        <v>79</v>
      </c>
      <c r="I156" t="str">
        <f>IFERROR(VLOOKUP(C156, merchants!$A$2:$D$41, 2, FALSE), "Merchant not found")</f>
        <v>Merchant_013</v>
      </c>
      <c r="J156" t="str">
        <f>IFERROR(VLOOKUP(C156, merchants!$A$2:$D$41, 3, FALSE), "Merchant not found")</f>
        <v>travel</v>
      </c>
      <c r="K156" t="str">
        <f>IFERROR(VLOOKUP(C156, merchants!$A$2:$D$41, 4, FALSE), "Merchant not found")</f>
        <v>East</v>
      </c>
      <c r="L156" s="2">
        <f>HLOOKUP(F156, merchants!$F$1:$I$2, 2, FALSE)</f>
        <v>1.7999999999999999E-2</v>
      </c>
      <c r="M156" t="str">
        <f t="shared" si="4"/>
        <v>Regular</v>
      </c>
      <c r="N156" s="5">
        <f t="shared" si="5"/>
        <v>46048</v>
      </c>
    </row>
    <row r="157" spans="1:14" x14ac:dyDescent="0.3">
      <c r="A157" t="s">
        <v>170</v>
      </c>
      <c r="B157">
        <v>338</v>
      </c>
      <c r="C157">
        <v>9</v>
      </c>
      <c r="D157" s="1">
        <v>46031.908333333333</v>
      </c>
      <c r="E157">
        <v>99</v>
      </c>
      <c r="F157" t="s">
        <v>24</v>
      </c>
      <c r="G157" t="s">
        <v>10</v>
      </c>
      <c r="H157">
        <v>80</v>
      </c>
      <c r="I157" t="str">
        <f>IFERROR(VLOOKUP(C157, merchants!$A$2:$D$41, 2, FALSE), "Merchant not found")</f>
        <v>Merchant_009</v>
      </c>
      <c r="J157" t="str">
        <f>IFERROR(VLOOKUP(C157, merchants!$A$2:$D$41, 3, FALSE), "Merchant not found")</f>
        <v>ecommerce</v>
      </c>
      <c r="K157" t="str">
        <f>IFERROR(VLOOKUP(C157, merchants!$A$2:$D$41, 4, FALSE), "Merchant not found")</f>
        <v>North</v>
      </c>
      <c r="L157" s="2">
        <f>HLOOKUP(F157, merchants!$F$1:$I$2, 2, FALSE)</f>
        <v>0.02</v>
      </c>
      <c r="M157" t="str">
        <f t="shared" si="4"/>
        <v>Regular</v>
      </c>
      <c r="N157" s="5">
        <f t="shared" si="5"/>
        <v>46031</v>
      </c>
    </row>
    <row r="158" spans="1:14" x14ac:dyDescent="0.3">
      <c r="A158" t="s">
        <v>171</v>
      </c>
      <c r="B158">
        <v>21</v>
      </c>
      <c r="C158">
        <v>20</v>
      </c>
      <c r="D158" s="1">
        <v>46026.861805555556</v>
      </c>
      <c r="E158">
        <v>2999</v>
      </c>
      <c r="F158" t="s">
        <v>12</v>
      </c>
      <c r="G158" t="s">
        <v>10</v>
      </c>
      <c r="H158">
        <v>100</v>
      </c>
      <c r="I158" t="str">
        <f>IFERROR(VLOOKUP(C158, merchants!$A$2:$D$41, 2, FALSE), "Merchant not found")</f>
        <v>Merchant_020</v>
      </c>
      <c r="J158" t="str">
        <f>IFERROR(VLOOKUP(C158, merchants!$A$2:$D$41, 3, FALSE), "Merchant not found")</f>
        <v>food_delivery</v>
      </c>
      <c r="K158" t="str">
        <f>IFERROR(VLOOKUP(C158, merchants!$A$2:$D$41, 4, FALSE), "Merchant not found")</f>
        <v>East</v>
      </c>
      <c r="L158" s="2">
        <f>HLOOKUP(F158, merchants!$F$1:$I$2, 2, FALSE)</f>
        <v>0</v>
      </c>
      <c r="M158" t="str">
        <f t="shared" si="4"/>
        <v>Regular</v>
      </c>
      <c r="N158" s="5">
        <f t="shared" si="5"/>
        <v>46026</v>
      </c>
    </row>
    <row r="159" spans="1:14" x14ac:dyDescent="0.3">
      <c r="A159" t="s">
        <v>172</v>
      </c>
      <c r="B159">
        <v>187</v>
      </c>
      <c r="C159">
        <v>9</v>
      </c>
      <c r="D159" s="1">
        <v>46037.067361111112</v>
      </c>
      <c r="E159">
        <v>49</v>
      </c>
      <c r="F159" t="s">
        <v>24</v>
      </c>
      <c r="G159" t="s">
        <v>25</v>
      </c>
      <c r="H159">
        <v>11</v>
      </c>
      <c r="I159" t="str">
        <f>IFERROR(VLOOKUP(C159, merchants!$A$2:$D$41, 2, FALSE), "Merchant not found")</f>
        <v>Merchant_009</v>
      </c>
      <c r="J159" t="str">
        <f>IFERROR(VLOOKUP(C159, merchants!$A$2:$D$41, 3, FALSE), "Merchant not found")</f>
        <v>ecommerce</v>
      </c>
      <c r="K159" t="str">
        <f>IFERROR(VLOOKUP(C159, merchants!$A$2:$D$41, 4, FALSE), "Merchant not found")</f>
        <v>North</v>
      </c>
      <c r="L159" s="2">
        <f>HLOOKUP(F159, merchants!$F$1:$I$2, 2, FALSE)</f>
        <v>0.02</v>
      </c>
      <c r="M159" t="str">
        <f t="shared" si="4"/>
        <v>Regular</v>
      </c>
      <c r="N159" s="5">
        <f t="shared" si="5"/>
        <v>46037</v>
      </c>
    </row>
    <row r="160" spans="1:14" x14ac:dyDescent="0.3">
      <c r="A160" t="s">
        <v>173</v>
      </c>
      <c r="B160">
        <v>213</v>
      </c>
      <c r="C160">
        <v>12</v>
      </c>
      <c r="D160" s="1">
        <v>46052.388888888891</v>
      </c>
      <c r="E160">
        <v>4999</v>
      </c>
      <c r="F160" t="s">
        <v>12</v>
      </c>
      <c r="G160" t="s">
        <v>10</v>
      </c>
      <c r="H160">
        <v>25</v>
      </c>
      <c r="I160" t="str">
        <f>IFERROR(VLOOKUP(C160, merchants!$A$2:$D$41, 2, FALSE), "Merchant not found")</f>
        <v>Merchant_012</v>
      </c>
      <c r="J160" t="str">
        <f>IFERROR(VLOOKUP(C160, merchants!$A$2:$D$41, 3, FALSE), "Merchant not found")</f>
        <v>ecommerce</v>
      </c>
      <c r="K160" t="str">
        <f>IFERROR(VLOOKUP(C160, merchants!$A$2:$D$41, 4, FALSE), "Merchant not found")</f>
        <v>East</v>
      </c>
      <c r="L160" s="2">
        <f>HLOOKUP(F160, merchants!$F$1:$I$2, 2, FALSE)</f>
        <v>0</v>
      </c>
      <c r="M160" t="str">
        <f t="shared" si="4"/>
        <v>Regular</v>
      </c>
      <c r="N160" s="5">
        <f t="shared" si="5"/>
        <v>46052</v>
      </c>
    </row>
    <row r="161" spans="1:14" x14ac:dyDescent="0.3">
      <c r="A161" t="s">
        <v>174</v>
      </c>
      <c r="B161">
        <v>188</v>
      </c>
      <c r="C161">
        <v>34</v>
      </c>
      <c r="D161" s="1">
        <v>46027.74722222222</v>
      </c>
      <c r="E161">
        <v>2999</v>
      </c>
      <c r="F161" t="s">
        <v>12</v>
      </c>
      <c r="G161" t="s">
        <v>10</v>
      </c>
      <c r="H161">
        <v>64</v>
      </c>
      <c r="I161" t="str">
        <f>IFERROR(VLOOKUP(C161, merchants!$A$2:$D$41, 2, FALSE), "Merchant not found")</f>
        <v>Merchant_034</v>
      </c>
      <c r="J161" t="str">
        <f>IFERROR(VLOOKUP(C161, merchants!$A$2:$D$41, 3, FALSE), "Merchant not found")</f>
        <v>travel</v>
      </c>
      <c r="K161" t="str">
        <f>IFERROR(VLOOKUP(C161, merchants!$A$2:$D$41, 4, FALSE), "Merchant not found")</f>
        <v>South</v>
      </c>
      <c r="L161" s="2">
        <f>HLOOKUP(F161, merchants!$F$1:$I$2, 2, FALSE)</f>
        <v>0</v>
      </c>
      <c r="M161" t="str">
        <f t="shared" si="4"/>
        <v>Regular</v>
      </c>
      <c r="N161" s="5">
        <f t="shared" si="5"/>
        <v>46027</v>
      </c>
    </row>
    <row r="162" spans="1:14" x14ac:dyDescent="0.3">
      <c r="A162" t="s">
        <v>175</v>
      </c>
      <c r="B162">
        <v>85</v>
      </c>
      <c r="C162">
        <v>17</v>
      </c>
      <c r="D162" s="1">
        <v>46052.370138888888</v>
      </c>
      <c r="E162">
        <v>499</v>
      </c>
      <c r="F162" t="s">
        <v>12</v>
      </c>
      <c r="G162" t="s">
        <v>10</v>
      </c>
      <c r="H162">
        <v>61</v>
      </c>
      <c r="I162" t="str">
        <f>IFERROR(VLOOKUP(C162, merchants!$A$2:$D$41, 2, FALSE), "Merchant not found")</f>
        <v>Merchant_017</v>
      </c>
      <c r="J162" t="str">
        <f>IFERROR(VLOOKUP(C162, merchants!$A$2:$D$41, 3, FALSE), "Merchant not found")</f>
        <v>grocery</v>
      </c>
      <c r="K162" t="str">
        <f>IFERROR(VLOOKUP(C162, merchants!$A$2:$D$41, 4, FALSE), "Merchant not found")</f>
        <v>North</v>
      </c>
      <c r="L162" s="2">
        <f>HLOOKUP(F162, merchants!$F$1:$I$2, 2, FALSE)</f>
        <v>0</v>
      </c>
      <c r="M162" t="str">
        <f t="shared" si="4"/>
        <v>Regular</v>
      </c>
      <c r="N162" s="5">
        <f t="shared" si="5"/>
        <v>46052</v>
      </c>
    </row>
    <row r="163" spans="1:14" x14ac:dyDescent="0.3">
      <c r="A163" t="s">
        <v>176</v>
      </c>
      <c r="B163">
        <v>174</v>
      </c>
      <c r="C163">
        <v>8</v>
      </c>
      <c r="D163" s="1">
        <v>46048.407638888886</v>
      </c>
      <c r="E163">
        <v>299</v>
      </c>
      <c r="F163" t="s">
        <v>15</v>
      </c>
      <c r="G163" t="s">
        <v>10</v>
      </c>
      <c r="H163">
        <v>59</v>
      </c>
      <c r="I163" t="str">
        <f>IFERROR(VLOOKUP(C163, merchants!$A$2:$D$41, 2, FALSE), "Merchant not found")</f>
        <v>Merchant_008</v>
      </c>
      <c r="J163" t="str">
        <f>IFERROR(VLOOKUP(C163, merchants!$A$2:$D$41, 3, FALSE), "Merchant not found")</f>
        <v>food_delivery</v>
      </c>
      <c r="K163" t="str">
        <f>IFERROR(VLOOKUP(C163, merchants!$A$2:$D$41, 4, FALSE), "Merchant not found")</f>
        <v>North</v>
      </c>
      <c r="L163" s="2">
        <f>HLOOKUP(F163, merchants!$F$1:$I$2, 2, FALSE)</f>
        <v>1.7999999999999999E-2</v>
      </c>
      <c r="M163" t="str">
        <f t="shared" si="4"/>
        <v>Regular</v>
      </c>
      <c r="N163" s="5">
        <f t="shared" si="5"/>
        <v>46048</v>
      </c>
    </row>
    <row r="164" spans="1:14" x14ac:dyDescent="0.3">
      <c r="A164" t="s">
        <v>177</v>
      </c>
      <c r="B164">
        <v>116</v>
      </c>
      <c r="C164">
        <v>26</v>
      </c>
      <c r="D164" s="1">
        <v>46025.2</v>
      </c>
      <c r="E164">
        <v>99</v>
      </c>
      <c r="F164" t="s">
        <v>15</v>
      </c>
      <c r="G164" t="s">
        <v>10</v>
      </c>
      <c r="H164">
        <v>71</v>
      </c>
      <c r="I164" t="str">
        <f>IFERROR(VLOOKUP(C164, merchants!$A$2:$D$41, 2, FALSE), "Merchant not found")</f>
        <v>Merchant_026</v>
      </c>
      <c r="J164" t="str">
        <f>IFERROR(VLOOKUP(C164, merchants!$A$2:$D$41, 3, FALSE), "Merchant not found")</f>
        <v>food_delivery</v>
      </c>
      <c r="K164" t="str">
        <f>IFERROR(VLOOKUP(C164, merchants!$A$2:$D$41, 4, FALSE), "Merchant not found")</f>
        <v>East</v>
      </c>
      <c r="L164" s="2">
        <f>HLOOKUP(F164, merchants!$F$1:$I$2, 2, FALSE)</f>
        <v>1.7999999999999999E-2</v>
      </c>
      <c r="M164" t="str">
        <f t="shared" si="4"/>
        <v>Regular</v>
      </c>
      <c r="N164" s="5">
        <f t="shared" si="5"/>
        <v>46025</v>
      </c>
    </row>
    <row r="165" spans="1:14" x14ac:dyDescent="0.3">
      <c r="A165" t="s">
        <v>178</v>
      </c>
      <c r="B165">
        <v>203</v>
      </c>
      <c r="C165">
        <v>1</v>
      </c>
      <c r="D165" s="1">
        <v>46034.118055555555</v>
      </c>
      <c r="E165">
        <v>149</v>
      </c>
      <c r="F165" t="s">
        <v>9</v>
      </c>
      <c r="G165" t="s">
        <v>10</v>
      </c>
      <c r="H165">
        <v>33</v>
      </c>
      <c r="I165" t="str">
        <f>IFERROR(VLOOKUP(C165, merchants!$A$2:$D$41, 2, FALSE), "Merchant not found")</f>
        <v>Merchant_001</v>
      </c>
      <c r="J165" t="str">
        <f>IFERROR(VLOOKUP(C165, merchants!$A$2:$D$41, 3, FALSE), "Merchant not found")</f>
        <v>ecommerce</v>
      </c>
      <c r="K165" t="str">
        <f>IFERROR(VLOOKUP(C165, merchants!$A$2:$D$41, 4, FALSE), "Merchant not found")</f>
        <v>South</v>
      </c>
      <c r="L165" s="2">
        <f>HLOOKUP(F165, merchants!$F$1:$I$2, 2, FALSE)</f>
        <v>1.4999999999999999E-2</v>
      </c>
      <c r="M165" t="str">
        <f t="shared" si="4"/>
        <v>Regular</v>
      </c>
      <c r="N165" s="5">
        <f t="shared" si="5"/>
        <v>46034</v>
      </c>
    </row>
    <row r="166" spans="1:14" x14ac:dyDescent="0.3">
      <c r="A166" t="s">
        <v>179</v>
      </c>
      <c r="B166">
        <v>189</v>
      </c>
      <c r="C166">
        <v>17</v>
      </c>
      <c r="D166" s="1">
        <v>46040.145138888889</v>
      </c>
      <c r="E166">
        <v>99</v>
      </c>
      <c r="F166" t="s">
        <v>12</v>
      </c>
      <c r="G166" t="s">
        <v>10</v>
      </c>
      <c r="H166">
        <v>74</v>
      </c>
      <c r="I166" t="str">
        <f>IFERROR(VLOOKUP(C166, merchants!$A$2:$D$41, 2, FALSE), "Merchant not found")</f>
        <v>Merchant_017</v>
      </c>
      <c r="J166" t="str">
        <f>IFERROR(VLOOKUP(C166, merchants!$A$2:$D$41, 3, FALSE), "Merchant not found")</f>
        <v>grocery</v>
      </c>
      <c r="K166" t="str">
        <f>IFERROR(VLOOKUP(C166, merchants!$A$2:$D$41, 4, FALSE), "Merchant not found")</f>
        <v>North</v>
      </c>
      <c r="L166" s="2">
        <f>HLOOKUP(F166, merchants!$F$1:$I$2, 2, FALSE)</f>
        <v>0</v>
      </c>
      <c r="M166" t="str">
        <f t="shared" si="4"/>
        <v>Regular</v>
      </c>
      <c r="N166" s="5">
        <f t="shared" si="5"/>
        <v>46040</v>
      </c>
    </row>
    <row r="167" spans="1:14" x14ac:dyDescent="0.3">
      <c r="A167" t="s">
        <v>180</v>
      </c>
      <c r="B167">
        <v>56</v>
      </c>
      <c r="C167">
        <v>15</v>
      </c>
      <c r="D167" s="1">
        <v>46035.849305555559</v>
      </c>
      <c r="E167">
        <v>299</v>
      </c>
      <c r="F167" t="s">
        <v>12</v>
      </c>
      <c r="G167" t="s">
        <v>10</v>
      </c>
      <c r="H167">
        <v>60</v>
      </c>
      <c r="I167" t="str">
        <f>IFERROR(VLOOKUP(C167, merchants!$A$2:$D$41, 2, FALSE), "Merchant not found")</f>
        <v>Merchant_015</v>
      </c>
      <c r="J167" t="str">
        <f>IFERROR(VLOOKUP(C167, merchants!$A$2:$D$41, 3, FALSE), "Merchant not found")</f>
        <v>travel</v>
      </c>
      <c r="K167" t="str">
        <f>IFERROR(VLOOKUP(C167, merchants!$A$2:$D$41, 4, FALSE), "Merchant not found")</f>
        <v>North</v>
      </c>
      <c r="L167" s="2">
        <f>HLOOKUP(F167, merchants!$F$1:$I$2, 2, FALSE)</f>
        <v>0</v>
      </c>
      <c r="M167" t="str">
        <f t="shared" si="4"/>
        <v>Regular</v>
      </c>
      <c r="N167" s="5">
        <f t="shared" si="5"/>
        <v>46035</v>
      </c>
    </row>
    <row r="168" spans="1:14" x14ac:dyDescent="0.3">
      <c r="A168" t="s">
        <v>181</v>
      </c>
      <c r="B168">
        <v>288</v>
      </c>
      <c r="C168">
        <v>21</v>
      </c>
      <c r="D168" s="1">
        <v>46023.830555555556</v>
      </c>
      <c r="E168">
        <v>4999</v>
      </c>
      <c r="F168" t="s">
        <v>9</v>
      </c>
      <c r="G168" t="s">
        <v>25</v>
      </c>
      <c r="H168">
        <v>78</v>
      </c>
      <c r="I168" t="str">
        <f>IFERROR(VLOOKUP(C168, merchants!$A$2:$D$41, 2, FALSE), "Merchant not found")</f>
        <v>Merchant_021</v>
      </c>
      <c r="J168" t="str">
        <f>IFERROR(VLOOKUP(C168, merchants!$A$2:$D$41, 3, FALSE), "Merchant not found")</f>
        <v>food_delivery</v>
      </c>
      <c r="K168" t="str">
        <f>IFERROR(VLOOKUP(C168, merchants!$A$2:$D$41, 4, FALSE), "Merchant not found")</f>
        <v>East</v>
      </c>
      <c r="L168" s="2">
        <f>HLOOKUP(F168, merchants!$F$1:$I$2, 2, FALSE)</f>
        <v>1.4999999999999999E-2</v>
      </c>
      <c r="M168" t="str">
        <f t="shared" si="4"/>
        <v>Regular</v>
      </c>
      <c r="N168" s="5">
        <f t="shared" si="5"/>
        <v>46023</v>
      </c>
    </row>
    <row r="169" spans="1:14" x14ac:dyDescent="0.3">
      <c r="A169" t="s">
        <v>182</v>
      </c>
      <c r="B169">
        <v>326</v>
      </c>
      <c r="C169">
        <v>30</v>
      </c>
      <c r="D169" s="1">
        <v>46030.836111111108</v>
      </c>
      <c r="E169">
        <v>99</v>
      </c>
      <c r="F169" t="s">
        <v>24</v>
      </c>
      <c r="G169" t="s">
        <v>10</v>
      </c>
      <c r="H169">
        <v>89</v>
      </c>
      <c r="I169" t="str">
        <f>IFERROR(VLOOKUP(C169, merchants!$A$2:$D$41, 2, FALSE), "Merchant not found")</f>
        <v>Merchant_030</v>
      </c>
      <c r="J169" t="str">
        <f>IFERROR(VLOOKUP(C169, merchants!$A$2:$D$41, 3, FALSE), "Merchant not found")</f>
        <v>travel</v>
      </c>
      <c r="K169" t="str">
        <f>IFERROR(VLOOKUP(C169, merchants!$A$2:$D$41, 4, FALSE), "Merchant not found")</f>
        <v>West</v>
      </c>
      <c r="L169" s="2">
        <f>HLOOKUP(F169, merchants!$F$1:$I$2, 2, FALSE)</f>
        <v>0.02</v>
      </c>
      <c r="M169" t="str">
        <f t="shared" si="4"/>
        <v>Regular</v>
      </c>
      <c r="N169" s="5">
        <f t="shared" si="5"/>
        <v>46030</v>
      </c>
    </row>
    <row r="170" spans="1:14" x14ac:dyDescent="0.3">
      <c r="A170" t="s">
        <v>183</v>
      </c>
      <c r="B170">
        <v>60</v>
      </c>
      <c r="C170">
        <v>9</v>
      </c>
      <c r="D170" s="1">
        <v>46032.851388888892</v>
      </c>
      <c r="E170">
        <v>49</v>
      </c>
      <c r="F170" t="s">
        <v>15</v>
      </c>
      <c r="G170" t="s">
        <v>10</v>
      </c>
      <c r="H170">
        <v>5</v>
      </c>
      <c r="I170" t="str">
        <f>IFERROR(VLOOKUP(C170, merchants!$A$2:$D$41, 2, FALSE), "Merchant not found")</f>
        <v>Merchant_009</v>
      </c>
      <c r="J170" t="str">
        <f>IFERROR(VLOOKUP(C170, merchants!$A$2:$D$41, 3, FALSE), "Merchant not found")</f>
        <v>ecommerce</v>
      </c>
      <c r="K170" t="str">
        <f>IFERROR(VLOOKUP(C170, merchants!$A$2:$D$41, 4, FALSE), "Merchant not found")</f>
        <v>North</v>
      </c>
      <c r="L170" s="2">
        <f>HLOOKUP(F170, merchants!$F$1:$I$2, 2, FALSE)</f>
        <v>1.7999999999999999E-2</v>
      </c>
      <c r="M170" t="str">
        <f t="shared" si="4"/>
        <v>Regular</v>
      </c>
      <c r="N170" s="5">
        <f t="shared" si="5"/>
        <v>46032</v>
      </c>
    </row>
    <row r="171" spans="1:14" x14ac:dyDescent="0.3">
      <c r="A171" t="s">
        <v>184</v>
      </c>
      <c r="B171">
        <v>60</v>
      </c>
      <c r="C171">
        <v>7</v>
      </c>
      <c r="D171" s="1">
        <v>46024.396527777775</v>
      </c>
      <c r="E171">
        <v>2999</v>
      </c>
      <c r="F171" t="s">
        <v>9</v>
      </c>
      <c r="G171" t="s">
        <v>10</v>
      </c>
      <c r="H171">
        <v>30</v>
      </c>
      <c r="I171" t="str">
        <f>IFERROR(VLOOKUP(C171, merchants!$A$2:$D$41, 2, FALSE), "Merchant not found")</f>
        <v>Merchant_007</v>
      </c>
      <c r="J171" t="str">
        <f>IFERROR(VLOOKUP(C171, merchants!$A$2:$D$41, 3, FALSE), "Merchant not found")</f>
        <v>food_delivery</v>
      </c>
      <c r="K171" t="str">
        <f>IFERROR(VLOOKUP(C171, merchants!$A$2:$D$41, 4, FALSE), "Merchant not found")</f>
        <v>East</v>
      </c>
      <c r="L171" s="2">
        <f>HLOOKUP(F171, merchants!$F$1:$I$2, 2, FALSE)</f>
        <v>1.4999999999999999E-2</v>
      </c>
      <c r="M171" t="str">
        <f t="shared" si="4"/>
        <v>Regular</v>
      </c>
      <c r="N171" s="5">
        <f t="shared" si="5"/>
        <v>46024</v>
      </c>
    </row>
    <row r="172" spans="1:14" x14ac:dyDescent="0.3">
      <c r="A172" t="s">
        <v>185</v>
      </c>
      <c r="B172">
        <v>199</v>
      </c>
      <c r="C172">
        <v>30</v>
      </c>
      <c r="D172" s="1">
        <v>46051.713888888888</v>
      </c>
      <c r="E172">
        <v>149</v>
      </c>
      <c r="F172" t="s">
        <v>15</v>
      </c>
      <c r="G172" t="s">
        <v>10</v>
      </c>
      <c r="H172">
        <v>47</v>
      </c>
      <c r="I172" t="str">
        <f>IFERROR(VLOOKUP(C172, merchants!$A$2:$D$41, 2, FALSE), "Merchant not found")</f>
        <v>Merchant_030</v>
      </c>
      <c r="J172" t="str">
        <f>IFERROR(VLOOKUP(C172, merchants!$A$2:$D$41, 3, FALSE), "Merchant not found")</f>
        <v>travel</v>
      </c>
      <c r="K172" t="str">
        <f>IFERROR(VLOOKUP(C172, merchants!$A$2:$D$41, 4, FALSE), "Merchant not found")</f>
        <v>West</v>
      </c>
      <c r="L172" s="2">
        <f>HLOOKUP(F172, merchants!$F$1:$I$2, 2, FALSE)</f>
        <v>1.7999999999999999E-2</v>
      </c>
      <c r="M172" t="str">
        <f t="shared" si="4"/>
        <v>Regular</v>
      </c>
      <c r="N172" s="5">
        <f t="shared" si="5"/>
        <v>46051</v>
      </c>
    </row>
    <row r="173" spans="1:14" x14ac:dyDescent="0.3">
      <c r="A173" t="s">
        <v>186</v>
      </c>
      <c r="B173">
        <v>277</v>
      </c>
      <c r="C173">
        <v>27</v>
      </c>
      <c r="D173" s="1">
        <v>46044.988888888889</v>
      </c>
      <c r="E173">
        <v>49</v>
      </c>
      <c r="F173" t="s">
        <v>12</v>
      </c>
      <c r="G173" t="s">
        <v>10</v>
      </c>
      <c r="H173">
        <v>75</v>
      </c>
      <c r="I173" t="str">
        <f>IFERROR(VLOOKUP(C173, merchants!$A$2:$D$41, 2, FALSE), "Merchant not found")</f>
        <v>Merchant_027</v>
      </c>
      <c r="J173" t="str">
        <f>IFERROR(VLOOKUP(C173, merchants!$A$2:$D$41, 3, FALSE), "Merchant not found")</f>
        <v>ecommerce</v>
      </c>
      <c r="K173" t="str">
        <f>IFERROR(VLOOKUP(C173, merchants!$A$2:$D$41, 4, FALSE), "Merchant not found")</f>
        <v>North</v>
      </c>
      <c r="L173" s="2">
        <f>HLOOKUP(F173, merchants!$F$1:$I$2, 2, FALSE)</f>
        <v>0</v>
      </c>
      <c r="M173" t="str">
        <f t="shared" si="4"/>
        <v>Regular</v>
      </c>
      <c r="N173" s="5">
        <f t="shared" si="5"/>
        <v>46044</v>
      </c>
    </row>
    <row r="174" spans="1:14" x14ac:dyDescent="0.3">
      <c r="A174" t="s">
        <v>187</v>
      </c>
      <c r="B174">
        <v>213</v>
      </c>
      <c r="C174">
        <v>7</v>
      </c>
      <c r="D174" s="1">
        <v>46046.964583333334</v>
      </c>
      <c r="E174">
        <v>799</v>
      </c>
      <c r="F174" t="s">
        <v>15</v>
      </c>
      <c r="G174" t="s">
        <v>10</v>
      </c>
      <c r="H174">
        <v>62</v>
      </c>
      <c r="I174" t="str">
        <f>IFERROR(VLOOKUP(C174, merchants!$A$2:$D$41, 2, FALSE), "Merchant not found")</f>
        <v>Merchant_007</v>
      </c>
      <c r="J174" t="str">
        <f>IFERROR(VLOOKUP(C174, merchants!$A$2:$D$41, 3, FALSE), "Merchant not found")</f>
        <v>food_delivery</v>
      </c>
      <c r="K174" t="str">
        <f>IFERROR(VLOOKUP(C174, merchants!$A$2:$D$41, 4, FALSE), "Merchant not found")</f>
        <v>East</v>
      </c>
      <c r="L174" s="2">
        <f>HLOOKUP(F174, merchants!$F$1:$I$2, 2, FALSE)</f>
        <v>1.7999999999999999E-2</v>
      </c>
      <c r="M174" t="str">
        <f t="shared" si="4"/>
        <v>Regular</v>
      </c>
      <c r="N174" s="5">
        <f t="shared" si="5"/>
        <v>46046</v>
      </c>
    </row>
    <row r="175" spans="1:14" x14ac:dyDescent="0.3">
      <c r="A175" t="s">
        <v>188</v>
      </c>
      <c r="B175">
        <v>17</v>
      </c>
      <c r="C175">
        <v>24</v>
      </c>
      <c r="D175" s="1">
        <v>46042.553472222222</v>
      </c>
      <c r="E175">
        <v>299</v>
      </c>
      <c r="F175" t="s">
        <v>12</v>
      </c>
      <c r="G175" t="s">
        <v>10</v>
      </c>
      <c r="H175">
        <v>27</v>
      </c>
      <c r="I175" t="str">
        <f>IFERROR(VLOOKUP(C175, merchants!$A$2:$D$41, 2, FALSE), "Merchant not found")</f>
        <v>Merchant_024</v>
      </c>
      <c r="J175" t="str">
        <f>IFERROR(VLOOKUP(C175, merchants!$A$2:$D$41, 3, FALSE), "Merchant not found")</f>
        <v>grocery</v>
      </c>
      <c r="K175" t="str">
        <f>IFERROR(VLOOKUP(C175, merchants!$A$2:$D$41, 4, FALSE), "Merchant not found")</f>
        <v>North</v>
      </c>
      <c r="L175" s="2">
        <f>HLOOKUP(F175, merchants!$F$1:$I$2, 2, FALSE)</f>
        <v>0</v>
      </c>
      <c r="M175" t="str">
        <f t="shared" si="4"/>
        <v>Regular</v>
      </c>
      <c r="N175" s="5">
        <f t="shared" si="5"/>
        <v>46042</v>
      </c>
    </row>
    <row r="176" spans="1:14" x14ac:dyDescent="0.3">
      <c r="A176" t="s">
        <v>189</v>
      </c>
      <c r="B176">
        <v>186</v>
      </c>
      <c r="C176">
        <v>7</v>
      </c>
      <c r="D176" s="1">
        <v>46037.59375</v>
      </c>
      <c r="E176">
        <v>1499</v>
      </c>
      <c r="F176" t="s">
        <v>24</v>
      </c>
      <c r="G176" t="s">
        <v>25</v>
      </c>
      <c r="H176">
        <v>87</v>
      </c>
      <c r="I176" t="str">
        <f>IFERROR(VLOOKUP(C176, merchants!$A$2:$D$41, 2, FALSE), "Merchant not found")</f>
        <v>Merchant_007</v>
      </c>
      <c r="J176" t="str">
        <f>IFERROR(VLOOKUP(C176, merchants!$A$2:$D$41, 3, FALSE), "Merchant not found")</f>
        <v>food_delivery</v>
      </c>
      <c r="K176" t="str">
        <f>IFERROR(VLOOKUP(C176, merchants!$A$2:$D$41, 4, FALSE), "Merchant not found")</f>
        <v>East</v>
      </c>
      <c r="L176" s="2">
        <f>HLOOKUP(F176, merchants!$F$1:$I$2, 2, FALSE)</f>
        <v>0.02</v>
      </c>
      <c r="M176" t="str">
        <f t="shared" si="4"/>
        <v>Regular</v>
      </c>
      <c r="N176" s="5">
        <f t="shared" si="5"/>
        <v>46037</v>
      </c>
    </row>
    <row r="177" spans="1:14" x14ac:dyDescent="0.3">
      <c r="A177" t="s">
        <v>190</v>
      </c>
      <c r="B177">
        <v>331</v>
      </c>
      <c r="C177">
        <v>23</v>
      </c>
      <c r="D177" s="1">
        <v>46034.747916666667</v>
      </c>
      <c r="E177">
        <v>149</v>
      </c>
      <c r="F177" t="s">
        <v>12</v>
      </c>
      <c r="G177" t="s">
        <v>10</v>
      </c>
      <c r="H177">
        <v>7</v>
      </c>
      <c r="I177" t="str">
        <f>IFERROR(VLOOKUP(C177, merchants!$A$2:$D$41, 2, FALSE), "Merchant not found")</f>
        <v>Merchant_023</v>
      </c>
      <c r="J177" t="str">
        <f>IFERROR(VLOOKUP(C177, merchants!$A$2:$D$41, 3, FALSE), "Merchant not found")</f>
        <v>travel</v>
      </c>
      <c r="K177" t="str">
        <f>IFERROR(VLOOKUP(C177, merchants!$A$2:$D$41, 4, FALSE), "Merchant not found")</f>
        <v>North</v>
      </c>
      <c r="L177" s="2">
        <f>HLOOKUP(F177, merchants!$F$1:$I$2, 2, FALSE)</f>
        <v>0</v>
      </c>
      <c r="M177" t="str">
        <f t="shared" si="4"/>
        <v>Regular</v>
      </c>
      <c r="N177" s="5">
        <f t="shared" si="5"/>
        <v>46034</v>
      </c>
    </row>
    <row r="178" spans="1:14" x14ac:dyDescent="0.3">
      <c r="A178" t="s">
        <v>191</v>
      </c>
      <c r="B178">
        <v>63</v>
      </c>
      <c r="C178">
        <v>30</v>
      </c>
      <c r="D178" s="1">
        <v>46035.341666666667</v>
      </c>
      <c r="E178">
        <v>1499</v>
      </c>
      <c r="F178" t="s">
        <v>24</v>
      </c>
      <c r="G178" t="s">
        <v>10</v>
      </c>
      <c r="H178">
        <v>11</v>
      </c>
      <c r="I178" t="str">
        <f>IFERROR(VLOOKUP(C178, merchants!$A$2:$D$41, 2, FALSE), "Merchant not found")</f>
        <v>Merchant_030</v>
      </c>
      <c r="J178" t="str">
        <f>IFERROR(VLOOKUP(C178, merchants!$A$2:$D$41, 3, FALSE), "Merchant not found")</f>
        <v>travel</v>
      </c>
      <c r="K178" t="str">
        <f>IFERROR(VLOOKUP(C178, merchants!$A$2:$D$41, 4, FALSE), "Merchant not found")</f>
        <v>West</v>
      </c>
      <c r="L178" s="2">
        <f>HLOOKUP(F178, merchants!$F$1:$I$2, 2, FALSE)</f>
        <v>0.02</v>
      </c>
      <c r="M178" t="str">
        <f t="shared" si="4"/>
        <v>Regular</v>
      </c>
      <c r="N178" s="5">
        <f t="shared" si="5"/>
        <v>46035</v>
      </c>
    </row>
    <row r="179" spans="1:14" x14ac:dyDescent="0.3">
      <c r="A179" t="s">
        <v>192</v>
      </c>
      <c r="B179">
        <v>328</v>
      </c>
      <c r="C179">
        <v>39</v>
      </c>
      <c r="D179" s="1">
        <v>46044.27847222222</v>
      </c>
      <c r="E179">
        <v>4999</v>
      </c>
      <c r="F179" t="s">
        <v>9</v>
      </c>
      <c r="G179" t="s">
        <v>38</v>
      </c>
      <c r="H179">
        <v>2</v>
      </c>
      <c r="I179" t="str">
        <f>IFERROR(VLOOKUP(C179, merchants!$A$2:$D$41, 2, FALSE), "Merchant not found")</f>
        <v>Merchant_039</v>
      </c>
      <c r="J179" t="str">
        <f>IFERROR(VLOOKUP(C179, merchants!$A$2:$D$41, 3, FALSE), "Merchant not found")</f>
        <v>entertainment</v>
      </c>
      <c r="K179" t="str">
        <f>IFERROR(VLOOKUP(C179, merchants!$A$2:$D$41, 4, FALSE), "Merchant not found")</f>
        <v>North</v>
      </c>
      <c r="L179" s="2">
        <f>HLOOKUP(F179, merchants!$F$1:$I$2, 2, FALSE)</f>
        <v>1.4999999999999999E-2</v>
      </c>
      <c r="M179" t="str">
        <f t="shared" si="4"/>
        <v>High-Value Day</v>
      </c>
      <c r="N179" s="5">
        <f t="shared" si="5"/>
        <v>46044</v>
      </c>
    </row>
    <row r="180" spans="1:14" x14ac:dyDescent="0.3">
      <c r="A180" t="s">
        <v>193</v>
      </c>
      <c r="B180">
        <v>65</v>
      </c>
      <c r="C180">
        <v>37</v>
      </c>
      <c r="D180" s="1">
        <v>46024.427083333336</v>
      </c>
      <c r="E180">
        <v>2999</v>
      </c>
      <c r="F180" t="s">
        <v>24</v>
      </c>
      <c r="G180" t="s">
        <v>10</v>
      </c>
      <c r="H180">
        <v>26</v>
      </c>
      <c r="I180" t="str">
        <f>IFERROR(VLOOKUP(C180, merchants!$A$2:$D$41, 2, FALSE), "Merchant not found")</f>
        <v>Merchant_037</v>
      </c>
      <c r="J180" t="str">
        <f>IFERROR(VLOOKUP(C180, merchants!$A$2:$D$41, 3, FALSE), "Merchant not found")</f>
        <v>entertainment</v>
      </c>
      <c r="K180" t="str">
        <f>IFERROR(VLOOKUP(C180, merchants!$A$2:$D$41, 4, FALSE), "Merchant not found")</f>
        <v>South</v>
      </c>
      <c r="L180" s="2">
        <f>HLOOKUP(F180, merchants!$F$1:$I$2, 2, FALSE)</f>
        <v>0.02</v>
      </c>
      <c r="M180" t="str">
        <f t="shared" si="4"/>
        <v>Regular</v>
      </c>
      <c r="N180" s="5">
        <f t="shared" si="5"/>
        <v>46024</v>
      </c>
    </row>
    <row r="181" spans="1:14" x14ac:dyDescent="0.3">
      <c r="A181" t="s">
        <v>194</v>
      </c>
      <c r="B181">
        <v>301</v>
      </c>
      <c r="C181">
        <v>14</v>
      </c>
      <c r="D181" s="1">
        <v>46025.717361111114</v>
      </c>
      <c r="E181">
        <v>149</v>
      </c>
      <c r="F181" t="s">
        <v>12</v>
      </c>
      <c r="G181" t="s">
        <v>10</v>
      </c>
      <c r="H181">
        <v>29</v>
      </c>
      <c r="I181" t="str">
        <f>IFERROR(VLOOKUP(C181, merchants!$A$2:$D$41, 2, FALSE), "Merchant not found")</f>
        <v>Merchant_014</v>
      </c>
      <c r="J181" t="str">
        <f>IFERROR(VLOOKUP(C181, merchants!$A$2:$D$41, 3, FALSE), "Merchant not found")</f>
        <v>grocery</v>
      </c>
      <c r="K181" t="str">
        <f>IFERROR(VLOOKUP(C181, merchants!$A$2:$D$41, 4, FALSE), "Merchant not found")</f>
        <v>East</v>
      </c>
      <c r="L181" s="2">
        <f>HLOOKUP(F181, merchants!$F$1:$I$2, 2, FALSE)</f>
        <v>0</v>
      </c>
      <c r="M181" t="str">
        <f t="shared" si="4"/>
        <v>Regular</v>
      </c>
      <c r="N181" s="5">
        <f t="shared" si="5"/>
        <v>46025</v>
      </c>
    </row>
    <row r="182" spans="1:14" x14ac:dyDescent="0.3">
      <c r="A182" t="s">
        <v>195</v>
      </c>
      <c r="B182">
        <v>306</v>
      </c>
      <c r="C182">
        <v>1</v>
      </c>
      <c r="D182" s="1">
        <v>46033.201388888891</v>
      </c>
      <c r="E182">
        <v>299</v>
      </c>
      <c r="F182" t="s">
        <v>12</v>
      </c>
      <c r="G182" t="s">
        <v>25</v>
      </c>
      <c r="H182">
        <v>35</v>
      </c>
      <c r="I182" t="str">
        <f>IFERROR(VLOOKUP(C182, merchants!$A$2:$D$41, 2, FALSE), "Merchant not found")</f>
        <v>Merchant_001</v>
      </c>
      <c r="J182" t="str">
        <f>IFERROR(VLOOKUP(C182, merchants!$A$2:$D$41, 3, FALSE), "Merchant not found")</f>
        <v>ecommerce</v>
      </c>
      <c r="K182" t="str">
        <f>IFERROR(VLOOKUP(C182, merchants!$A$2:$D$41, 4, FALSE), "Merchant not found")</f>
        <v>South</v>
      </c>
      <c r="L182" s="2">
        <f>HLOOKUP(F182, merchants!$F$1:$I$2, 2, FALSE)</f>
        <v>0</v>
      </c>
      <c r="M182" t="str">
        <f t="shared" si="4"/>
        <v>Regular</v>
      </c>
      <c r="N182" s="5">
        <f t="shared" si="5"/>
        <v>46033</v>
      </c>
    </row>
    <row r="183" spans="1:14" x14ac:dyDescent="0.3">
      <c r="A183" t="s">
        <v>196</v>
      </c>
      <c r="B183">
        <v>277</v>
      </c>
      <c r="C183">
        <v>17</v>
      </c>
      <c r="D183" s="1">
        <v>46050.172222222223</v>
      </c>
      <c r="E183">
        <v>299</v>
      </c>
      <c r="F183" t="s">
        <v>12</v>
      </c>
      <c r="G183" t="s">
        <v>10</v>
      </c>
      <c r="H183">
        <v>22</v>
      </c>
      <c r="I183" t="str">
        <f>IFERROR(VLOOKUP(C183, merchants!$A$2:$D$41, 2, FALSE), "Merchant not found")</f>
        <v>Merchant_017</v>
      </c>
      <c r="J183" t="str">
        <f>IFERROR(VLOOKUP(C183, merchants!$A$2:$D$41, 3, FALSE), "Merchant not found")</f>
        <v>grocery</v>
      </c>
      <c r="K183" t="str">
        <f>IFERROR(VLOOKUP(C183, merchants!$A$2:$D$41, 4, FALSE), "Merchant not found")</f>
        <v>North</v>
      </c>
      <c r="L183" s="2">
        <f>HLOOKUP(F183, merchants!$F$1:$I$2, 2, FALSE)</f>
        <v>0</v>
      </c>
      <c r="M183" t="str">
        <f t="shared" si="4"/>
        <v>Regular</v>
      </c>
      <c r="N183" s="5">
        <f t="shared" si="5"/>
        <v>46050</v>
      </c>
    </row>
    <row r="184" spans="1:14" x14ac:dyDescent="0.3">
      <c r="A184" t="s">
        <v>197</v>
      </c>
      <c r="B184">
        <v>14</v>
      </c>
      <c r="C184">
        <v>9</v>
      </c>
      <c r="D184" s="1">
        <v>46026.913194444445</v>
      </c>
      <c r="E184">
        <v>499</v>
      </c>
      <c r="F184" t="s">
        <v>12</v>
      </c>
      <c r="G184" t="s">
        <v>10</v>
      </c>
      <c r="H184">
        <v>1</v>
      </c>
      <c r="I184" t="str">
        <f>IFERROR(VLOOKUP(C184, merchants!$A$2:$D$41, 2, FALSE), "Merchant not found")</f>
        <v>Merchant_009</v>
      </c>
      <c r="J184" t="str">
        <f>IFERROR(VLOOKUP(C184, merchants!$A$2:$D$41, 3, FALSE), "Merchant not found")</f>
        <v>ecommerce</v>
      </c>
      <c r="K184" t="str">
        <f>IFERROR(VLOOKUP(C184, merchants!$A$2:$D$41, 4, FALSE), "Merchant not found")</f>
        <v>North</v>
      </c>
      <c r="L184" s="2">
        <f>HLOOKUP(F184, merchants!$F$1:$I$2, 2, FALSE)</f>
        <v>0</v>
      </c>
      <c r="M184" t="str">
        <f t="shared" si="4"/>
        <v>Regular</v>
      </c>
      <c r="N184" s="5">
        <f t="shared" si="5"/>
        <v>46026</v>
      </c>
    </row>
    <row r="185" spans="1:14" x14ac:dyDescent="0.3">
      <c r="A185" t="s">
        <v>198</v>
      </c>
      <c r="B185">
        <v>166</v>
      </c>
      <c r="C185">
        <v>2</v>
      </c>
      <c r="D185" s="1">
        <v>46034.317361111112</v>
      </c>
      <c r="E185">
        <v>299</v>
      </c>
      <c r="F185" t="s">
        <v>24</v>
      </c>
      <c r="G185" t="s">
        <v>10</v>
      </c>
      <c r="H185">
        <v>22</v>
      </c>
      <c r="I185" t="str">
        <f>IFERROR(VLOOKUP(C185, merchants!$A$2:$D$41, 2, FALSE), "Merchant not found")</f>
        <v>Merchant_002</v>
      </c>
      <c r="J185" t="str">
        <f>IFERROR(VLOOKUP(C185, merchants!$A$2:$D$41, 3, FALSE), "Merchant not found")</f>
        <v>grocery</v>
      </c>
      <c r="K185" t="str">
        <f>IFERROR(VLOOKUP(C185, merchants!$A$2:$D$41, 4, FALSE), "Merchant not found")</f>
        <v>West</v>
      </c>
      <c r="L185" s="2">
        <f>HLOOKUP(F185, merchants!$F$1:$I$2, 2, FALSE)</f>
        <v>0.02</v>
      </c>
      <c r="M185" t="str">
        <f t="shared" si="4"/>
        <v>Regular</v>
      </c>
      <c r="N185" s="5">
        <f t="shared" si="5"/>
        <v>46034</v>
      </c>
    </row>
    <row r="186" spans="1:14" x14ac:dyDescent="0.3">
      <c r="A186" t="s">
        <v>199</v>
      </c>
      <c r="B186">
        <v>216</v>
      </c>
      <c r="C186">
        <v>34</v>
      </c>
      <c r="D186" s="1">
        <v>46031.047222222223</v>
      </c>
      <c r="E186">
        <v>299</v>
      </c>
      <c r="F186" t="s">
        <v>24</v>
      </c>
      <c r="G186" t="s">
        <v>10</v>
      </c>
      <c r="H186">
        <v>14</v>
      </c>
      <c r="I186" t="str">
        <f>IFERROR(VLOOKUP(C186, merchants!$A$2:$D$41, 2, FALSE), "Merchant not found")</f>
        <v>Merchant_034</v>
      </c>
      <c r="J186" t="str">
        <f>IFERROR(VLOOKUP(C186, merchants!$A$2:$D$41, 3, FALSE), "Merchant not found")</f>
        <v>travel</v>
      </c>
      <c r="K186" t="str">
        <f>IFERROR(VLOOKUP(C186, merchants!$A$2:$D$41, 4, FALSE), "Merchant not found")</f>
        <v>South</v>
      </c>
      <c r="L186" s="2">
        <f>HLOOKUP(F186, merchants!$F$1:$I$2, 2, FALSE)</f>
        <v>0.02</v>
      </c>
      <c r="M186" t="str">
        <f t="shared" si="4"/>
        <v>Regular</v>
      </c>
      <c r="N186" s="5">
        <f t="shared" si="5"/>
        <v>46031</v>
      </c>
    </row>
    <row r="187" spans="1:14" x14ac:dyDescent="0.3">
      <c r="A187" t="s">
        <v>200</v>
      </c>
      <c r="B187">
        <v>230</v>
      </c>
      <c r="C187">
        <v>24</v>
      </c>
      <c r="D187" s="1">
        <v>46046.104166666664</v>
      </c>
      <c r="E187">
        <v>49</v>
      </c>
      <c r="F187" t="s">
        <v>12</v>
      </c>
      <c r="G187" t="s">
        <v>10</v>
      </c>
      <c r="H187">
        <v>65</v>
      </c>
      <c r="I187" t="str">
        <f>IFERROR(VLOOKUP(C187, merchants!$A$2:$D$41, 2, FALSE), "Merchant not found")</f>
        <v>Merchant_024</v>
      </c>
      <c r="J187" t="str">
        <f>IFERROR(VLOOKUP(C187, merchants!$A$2:$D$41, 3, FALSE), "Merchant not found")</f>
        <v>grocery</v>
      </c>
      <c r="K187" t="str">
        <f>IFERROR(VLOOKUP(C187, merchants!$A$2:$D$41, 4, FALSE), "Merchant not found")</f>
        <v>North</v>
      </c>
      <c r="L187" s="2">
        <f>HLOOKUP(F187, merchants!$F$1:$I$2, 2, FALSE)</f>
        <v>0</v>
      </c>
      <c r="M187" t="str">
        <f t="shared" si="4"/>
        <v>Regular</v>
      </c>
      <c r="N187" s="5">
        <f t="shared" si="5"/>
        <v>46046</v>
      </c>
    </row>
    <row r="188" spans="1:14" x14ac:dyDescent="0.3">
      <c r="A188" t="s">
        <v>201</v>
      </c>
      <c r="B188">
        <v>258</v>
      </c>
      <c r="C188">
        <v>15</v>
      </c>
      <c r="D188" s="1">
        <v>46041.144444444442</v>
      </c>
      <c r="E188">
        <v>499</v>
      </c>
      <c r="F188" t="s">
        <v>9</v>
      </c>
      <c r="G188" t="s">
        <v>10</v>
      </c>
      <c r="H188">
        <v>78</v>
      </c>
      <c r="I188" t="str">
        <f>IFERROR(VLOOKUP(C188, merchants!$A$2:$D$41, 2, FALSE), "Merchant not found")</f>
        <v>Merchant_015</v>
      </c>
      <c r="J188" t="str">
        <f>IFERROR(VLOOKUP(C188, merchants!$A$2:$D$41, 3, FALSE), "Merchant not found")</f>
        <v>travel</v>
      </c>
      <c r="K188" t="str">
        <f>IFERROR(VLOOKUP(C188, merchants!$A$2:$D$41, 4, FALSE), "Merchant not found")</f>
        <v>North</v>
      </c>
      <c r="L188" s="2">
        <f>HLOOKUP(F188, merchants!$F$1:$I$2, 2, FALSE)</f>
        <v>1.4999999999999999E-2</v>
      </c>
      <c r="M188" t="str">
        <f t="shared" si="4"/>
        <v>Regular</v>
      </c>
      <c r="N188" s="5">
        <f t="shared" si="5"/>
        <v>46041</v>
      </c>
    </row>
    <row r="189" spans="1:14" x14ac:dyDescent="0.3">
      <c r="A189" t="s">
        <v>202</v>
      </c>
      <c r="B189">
        <v>338</v>
      </c>
      <c r="C189">
        <v>34</v>
      </c>
      <c r="D189" s="1">
        <v>46024.993055555555</v>
      </c>
      <c r="E189">
        <v>49</v>
      </c>
      <c r="F189" t="s">
        <v>12</v>
      </c>
      <c r="G189" t="s">
        <v>10</v>
      </c>
      <c r="H189">
        <v>38</v>
      </c>
      <c r="I189" t="str">
        <f>IFERROR(VLOOKUP(C189, merchants!$A$2:$D$41, 2, FALSE), "Merchant not found")</f>
        <v>Merchant_034</v>
      </c>
      <c r="J189" t="str">
        <f>IFERROR(VLOOKUP(C189, merchants!$A$2:$D$41, 3, FALSE), "Merchant not found")</f>
        <v>travel</v>
      </c>
      <c r="K189" t="str">
        <f>IFERROR(VLOOKUP(C189, merchants!$A$2:$D$41, 4, FALSE), "Merchant not found")</f>
        <v>South</v>
      </c>
      <c r="L189" s="2">
        <f>HLOOKUP(F189, merchants!$F$1:$I$2, 2, FALSE)</f>
        <v>0</v>
      </c>
      <c r="M189" t="str">
        <f t="shared" si="4"/>
        <v>Regular</v>
      </c>
      <c r="N189" s="5">
        <f t="shared" si="5"/>
        <v>46024</v>
      </c>
    </row>
    <row r="190" spans="1:14" x14ac:dyDescent="0.3">
      <c r="A190" t="s">
        <v>203</v>
      </c>
      <c r="B190">
        <v>32</v>
      </c>
      <c r="C190">
        <v>31</v>
      </c>
      <c r="D190" s="1">
        <v>46037.834027777775</v>
      </c>
      <c r="E190">
        <v>299</v>
      </c>
      <c r="F190" t="s">
        <v>12</v>
      </c>
      <c r="G190" t="s">
        <v>10</v>
      </c>
      <c r="H190">
        <v>51</v>
      </c>
      <c r="I190" t="str">
        <f>IFERROR(VLOOKUP(C190, merchants!$A$2:$D$41, 2, FALSE), "Merchant not found")</f>
        <v>Merchant_031</v>
      </c>
      <c r="J190" t="str">
        <f>IFERROR(VLOOKUP(C190, merchants!$A$2:$D$41, 3, FALSE), "Merchant not found")</f>
        <v>bill_payment</v>
      </c>
      <c r="K190" t="str">
        <f>IFERROR(VLOOKUP(C190, merchants!$A$2:$D$41, 4, FALSE), "Merchant not found")</f>
        <v>East</v>
      </c>
      <c r="L190" s="2">
        <f>HLOOKUP(F190, merchants!$F$1:$I$2, 2, FALSE)</f>
        <v>0</v>
      </c>
      <c r="M190" t="str">
        <f t="shared" si="4"/>
        <v>Regular</v>
      </c>
      <c r="N190" s="5">
        <f t="shared" si="5"/>
        <v>46037</v>
      </c>
    </row>
    <row r="191" spans="1:14" x14ac:dyDescent="0.3">
      <c r="A191" t="s">
        <v>204</v>
      </c>
      <c r="B191">
        <v>252</v>
      </c>
      <c r="C191">
        <v>29</v>
      </c>
      <c r="D191" s="1">
        <v>46036.879166666666</v>
      </c>
      <c r="E191">
        <v>1499</v>
      </c>
      <c r="F191" t="s">
        <v>12</v>
      </c>
      <c r="G191" t="s">
        <v>10</v>
      </c>
      <c r="H191">
        <v>9</v>
      </c>
      <c r="I191" t="str">
        <f>IFERROR(VLOOKUP(C191, merchants!$A$2:$D$41, 2, FALSE), "Merchant not found")</f>
        <v>Merchant_029</v>
      </c>
      <c r="J191" t="str">
        <f>IFERROR(VLOOKUP(C191, merchants!$A$2:$D$41, 3, FALSE), "Merchant not found")</f>
        <v>ecommerce</v>
      </c>
      <c r="K191" t="str">
        <f>IFERROR(VLOOKUP(C191, merchants!$A$2:$D$41, 4, FALSE), "Merchant not found")</f>
        <v>North</v>
      </c>
      <c r="L191" s="2">
        <f>HLOOKUP(F191, merchants!$F$1:$I$2, 2, FALSE)</f>
        <v>0</v>
      </c>
      <c r="M191" t="str">
        <f t="shared" si="4"/>
        <v>Regular</v>
      </c>
      <c r="N191" s="5">
        <f t="shared" si="5"/>
        <v>46036</v>
      </c>
    </row>
    <row r="192" spans="1:14" x14ac:dyDescent="0.3">
      <c r="A192" t="s">
        <v>205</v>
      </c>
      <c r="B192">
        <v>312</v>
      </c>
      <c r="C192">
        <v>10</v>
      </c>
      <c r="D192" s="1">
        <v>46051.097222222219</v>
      </c>
      <c r="E192">
        <v>799</v>
      </c>
      <c r="F192" t="s">
        <v>12</v>
      </c>
      <c r="G192" t="s">
        <v>10</v>
      </c>
      <c r="H192">
        <v>8</v>
      </c>
      <c r="I192" t="str">
        <f>IFERROR(VLOOKUP(C192, merchants!$A$2:$D$41, 2, FALSE), "Merchant not found")</f>
        <v>Merchant_010</v>
      </c>
      <c r="J192" t="str">
        <f>IFERROR(VLOOKUP(C192, merchants!$A$2:$D$41, 3, FALSE), "Merchant not found")</f>
        <v>grocery</v>
      </c>
      <c r="K192" t="str">
        <f>IFERROR(VLOOKUP(C192, merchants!$A$2:$D$41, 4, FALSE), "Merchant not found")</f>
        <v>West</v>
      </c>
      <c r="L192" s="2">
        <f>HLOOKUP(F192, merchants!$F$1:$I$2, 2, FALSE)</f>
        <v>0</v>
      </c>
      <c r="M192" t="str">
        <f t="shared" si="4"/>
        <v>Regular</v>
      </c>
      <c r="N192" s="5">
        <f t="shared" si="5"/>
        <v>46051</v>
      </c>
    </row>
    <row r="193" spans="1:14" x14ac:dyDescent="0.3">
      <c r="A193" t="s">
        <v>206</v>
      </c>
      <c r="B193">
        <v>325</v>
      </c>
      <c r="C193">
        <v>38</v>
      </c>
      <c r="D193" s="1">
        <v>46027.36041666667</v>
      </c>
      <c r="E193">
        <v>1499</v>
      </c>
      <c r="F193" t="s">
        <v>15</v>
      </c>
      <c r="G193" t="s">
        <v>10</v>
      </c>
      <c r="H193">
        <v>70</v>
      </c>
      <c r="I193" t="str">
        <f>IFERROR(VLOOKUP(C193, merchants!$A$2:$D$41, 2, FALSE), "Merchant not found")</f>
        <v>Merchant_038</v>
      </c>
      <c r="J193" t="str">
        <f>IFERROR(VLOOKUP(C193, merchants!$A$2:$D$41, 3, FALSE), "Merchant not found")</f>
        <v>grocery</v>
      </c>
      <c r="K193" t="str">
        <f>IFERROR(VLOOKUP(C193, merchants!$A$2:$D$41, 4, FALSE), "Merchant not found")</f>
        <v>East</v>
      </c>
      <c r="L193" s="2">
        <f>HLOOKUP(F193, merchants!$F$1:$I$2, 2, FALSE)</f>
        <v>1.7999999999999999E-2</v>
      </c>
      <c r="M193" t="str">
        <f t="shared" si="4"/>
        <v>Regular</v>
      </c>
      <c r="N193" s="5">
        <f t="shared" si="5"/>
        <v>46027</v>
      </c>
    </row>
    <row r="194" spans="1:14" x14ac:dyDescent="0.3">
      <c r="A194" t="s">
        <v>207</v>
      </c>
      <c r="B194">
        <v>306</v>
      </c>
      <c r="C194">
        <v>34</v>
      </c>
      <c r="D194" s="1">
        <v>46045.433333333334</v>
      </c>
      <c r="E194">
        <v>2999</v>
      </c>
      <c r="F194" t="s">
        <v>12</v>
      </c>
      <c r="G194" t="s">
        <v>10</v>
      </c>
      <c r="H194">
        <v>37</v>
      </c>
      <c r="I194" t="str">
        <f>IFERROR(VLOOKUP(C194, merchants!$A$2:$D$41, 2, FALSE), "Merchant not found")</f>
        <v>Merchant_034</v>
      </c>
      <c r="J194" t="str">
        <f>IFERROR(VLOOKUP(C194, merchants!$A$2:$D$41, 3, FALSE), "Merchant not found")</f>
        <v>travel</v>
      </c>
      <c r="K194" t="str">
        <f>IFERROR(VLOOKUP(C194, merchants!$A$2:$D$41, 4, FALSE), "Merchant not found")</f>
        <v>South</v>
      </c>
      <c r="L194" s="2">
        <f>HLOOKUP(F194, merchants!$F$1:$I$2, 2, FALSE)</f>
        <v>0</v>
      </c>
      <c r="M194" t="str">
        <f t="shared" si="4"/>
        <v>Regular</v>
      </c>
      <c r="N194" s="5">
        <f t="shared" si="5"/>
        <v>46045</v>
      </c>
    </row>
    <row r="195" spans="1:14" x14ac:dyDescent="0.3">
      <c r="A195" t="s">
        <v>208</v>
      </c>
      <c r="B195">
        <v>221</v>
      </c>
      <c r="C195">
        <v>7</v>
      </c>
      <c r="D195" s="1">
        <v>46037.693055555559</v>
      </c>
      <c r="E195">
        <v>149</v>
      </c>
      <c r="F195" t="s">
        <v>15</v>
      </c>
      <c r="G195" t="s">
        <v>10</v>
      </c>
      <c r="H195">
        <v>89</v>
      </c>
      <c r="I195" t="str">
        <f>IFERROR(VLOOKUP(C195, merchants!$A$2:$D$41, 2, FALSE), "Merchant not found")</f>
        <v>Merchant_007</v>
      </c>
      <c r="J195" t="str">
        <f>IFERROR(VLOOKUP(C195, merchants!$A$2:$D$41, 3, FALSE), "Merchant not found")</f>
        <v>food_delivery</v>
      </c>
      <c r="K195" t="str">
        <f>IFERROR(VLOOKUP(C195, merchants!$A$2:$D$41, 4, FALSE), "Merchant not found")</f>
        <v>East</v>
      </c>
      <c r="L195" s="2">
        <f>HLOOKUP(F195, merchants!$F$1:$I$2, 2, FALSE)</f>
        <v>1.7999999999999999E-2</v>
      </c>
      <c r="M195" t="str">
        <f t="shared" ref="M195:M258" si="6">IF(AND(SUMIFS($E:$E, $C:$C, C195, $D:$D, "&gt;="&amp;INT(D195), $D:$D, "&lt;"&amp;INT(D195)+1) &gt; 5000, K195 &lt;&gt; "East"), "High-Value Day", "Regular")</f>
        <v>Regular</v>
      </c>
      <c r="N195" s="5">
        <f t="shared" ref="N195:N258" si="7">INT(D195)</f>
        <v>46037</v>
      </c>
    </row>
    <row r="196" spans="1:14" x14ac:dyDescent="0.3">
      <c r="A196" t="s">
        <v>209</v>
      </c>
      <c r="B196">
        <v>283</v>
      </c>
      <c r="C196">
        <v>14</v>
      </c>
      <c r="D196" s="1">
        <v>46026.861805555556</v>
      </c>
      <c r="E196">
        <v>99</v>
      </c>
      <c r="F196" t="s">
        <v>9</v>
      </c>
      <c r="G196" t="s">
        <v>10</v>
      </c>
      <c r="H196">
        <v>55</v>
      </c>
      <c r="I196" t="str">
        <f>IFERROR(VLOOKUP(C196, merchants!$A$2:$D$41, 2, FALSE), "Merchant not found")</f>
        <v>Merchant_014</v>
      </c>
      <c r="J196" t="str">
        <f>IFERROR(VLOOKUP(C196, merchants!$A$2:$D$41, 3, FALSE), "Merchant not found")</f>
        <v>grocery</v>
      </c>
      <c r="K196" t="str">
        <f>IFERROR(VLOOKUP(C196, merchants!$A$2:$D$41, 4, FALSE), "Merchant not found")</f>
        <v>East</v>
      </c>
      <c r="L196" s="2">
        <f>HLOOKUP(F196, merchants!$F$1:$I$2, 2, FALSE)</f>
        <v>1.4999999999999999E-2</v>
      </c>
      <c r="M196" t="str">
        <f t="shared" si="6"/>
        <v>Regular</v>
      </c>
      <c r="N196" s="5">
        <f t="shared" si="7"/>
        <v>46026</v>
      </c>
    </row>
    <row r="197" spans="1:14" x14ac:dyDescent="0.3">
      <c r="A197" t="s">
        <v>210</v>
      </c>
      <c r="B197">
        <v>174</v>
      </c>
      <c r="C197">
        <v>30</v>
      </c>
      <c r="D197" s="1">
        <v>46037.30972222222</v>
      </c>
      <c r="E197">
        <v>49</v>
      </c>
      <c r="F197" t="s">
        <v>12</v>
      </c>
      <c r="G197" t="s">
        <v>10</v>
      </c>
      <c r="H197">
        <v>51</v>
      </c>
      <c r="I197" t="str">
        <f>IFERROR(VLOOKUP(C197, merchants!$A$2:$D$41, 2, FALSE), "Merchant not found")</f>
        <v>Merchant_030</v>
      </c>
      <c r="J197" t="str">
        <f>IFERROR(VLOOKUP(C197, merchants!$A$2:$D$41, 3, FALSE), "Merchant not found")</f>
        <v>travel</v>
      </c>
      <c r="K197" t="str">
        <f>IFERROR(VLOOKUP(C197, merchants!$A$2:$D$41, 4, FALSE), "Merchant not found")</f>
        <v>West</v>
      </c>
      <c r="L197" s="2">
        <f>HLOOKUP(F197, merchants!$F$1:$I$2, 2, FALSE)</f>
        <v>0</v>
      </c>
      <c r="M197" t="str">
        <f t="shared" si="6"/>
        <v>Regular</v>
      </c>
      <c r="N197" s="5">
        <f t="shared" si="7"/>
        <v>46037</v>
      </c>
    </row>
    <row r="198" spans="1:14" x14ac:dyDescent="0.3">
      <c r="A198" t="s">
        <v>211</v>
      </c>
      <c r="B198">
        <v>161</v>
      </c>
      <c r="C198">
        <v>28</v>
      </c>
      <c r="D198" s="1">
        <v>46036.962500000001</v>
      </c>
      <c r="E198">
        <v>49</v>
      </c>
      <c r="F198" t="s">
        <v>12</v>
      </c>
      <c r="G198" t="s">
        <v>10</v>
      </c>
      <c r="H198">
        <v>40</v>
      </c>
      <c r="I198" t="str">
        <f>IFERROR(VLOOKUP(C198, merchants!$A$2:$D$41, 2, FALSE), "Merchant not found")</f>
        <v>Merchant_028</v>
      </c>
      <c r="J198" t="str">
        <f>IFERROR(VLOOKUP(C198, merchants!$A$2:$D$41, 3, FALSE), "Merchant not found")</f>
        <v>ecommerce</v>
      </c>
      <c r="K198" t="str">
        <f>IFERROR(VLOOKUP(C198, merchants!$A$2:$D$41, 4, FALSE), "Merchant not found")</f>
        <v>South</v>
      </c>
      <c r="L198" s="2">
        <f>HLOOKUP(F198, merchants!$F$1:$I$2, 2, FALSE)</f>
        <v>0</v>
      </c>
      <c r="M198" t="str">
        <f t="shared" si="6"/>
        <v>Regular</v>
      </c>
      <c r="N198" s="5">
        <f t="shared" si="7"/>
        <v>46036</v>
      </c>
    </row>
    <row r="199" spans="1:14" x14ac:dyDescent="0.3">
      <c r="A199" t="s">
        <v>212</v>
      </c>
      <c r="B199">
        <v>79</v>
      </c>
      <c r="C199">
        <v>31</v>
      </c>
      <c r="D199" s="1">
        <v>46044.349305555559</v>
      </c>
      <c r="E199">
        <v>99</v>
      </c>
      <c r="F199" t="s">
        <v>12</v>
      </c>
      <c r="G199" t="s">
        <v>10</v>
      </c>
      <c r="H199">
        <v>8</v>
      </c>
      <c r="I199" t="str">
        <f>IFERROR(VLOOKUP(C199, merchants!$A$2:$D$41, 2, FALSE), "Merchant not found")</f>
        <v>Merchant_031</v>
      </c>
      <c r="J199" t="str">
        <f>IFERROR(VLOOKUP(C199, merchants!$A$2:$D$41, 3, FALSE), "Merchant not found")</f>
        <v>bill_payment</v>
      </c>
      <c r="K199" t="str">
        <f>IFERROR(VLOOKUP(C199, merchants!$A$2:$D$41, 4, FALSE), "Merchant not found")</f>
        <v>East</v>
      </c>
      <c r="L199" s="2">
        <f>HLOOKUP(F199, merchants!$F$1:$I$2, 2, FALSE)</f>
        <v>0</v>
      </c>
      <c r="M199" t="str">
        <f t="shared" si="6"/>
        <v>Regular</v>
      </c>
      <c r="N199" s="5">
        <f t="shared" si="7"/>
        <v>46044</v>
      </c>
    </row>
    <row r="200" spans="1:14" x14ac:dyDescent="0.3">
      <c r="A200" t="s">
        <v>213</v>
      </c>
      <c r="B200">
        <v>222</v>
      </c>
      <c r="C200">
        <v>7</v>
      </c>
      <c r="D200" s="1">
        <v>46025.086805555555</v>
      </c>
      <c r="E200">
        <v>149</v>
      </c>
      <c r="F200" t="s">
        <v>9</v>
      </c>
      <c r="G200" t="s">
        <v>10</v>
      </c>
      <c r="H200">
        <v>95</v>
      </c>
      <c r="I200" t="str">
        <f>IFERROR(VLOOKUP(C200, merchants!$A$2:$D$41, 2, FALSE), "Merchant not found")</f>
        <v>Merchant_007</v>
      </c>
      <c r="J200" t="str">
        <f>IFERROR(VLOOKUP(C200, merchants!$A$2:$D$41, 3, FALSE), "Merchant not found")</f>
        <v>food_delivery</v>
      </c>
      <c r="K200" t="str">
        <f>IFERROR(VLOOKUP(C200, merchants!$A$2:$D$41, 4, FALSE), "Merchant not found")</f>
        <v>East</v>
      </c>
      <c r="L200" s="2">
        <f>HLOOKUP(F200, merchants!$F$1:$I$2, 2, FALSE)</f>
        <v>1.4999999999999999E-2</v>
      </c>
      <c r="M200" t="str">
        <f t="shared" si="6"/>
        <v>Regular</v>
      </c>
      <c r="N200" s="5">
        <f t="shared" si="7"/>
        <v>46025</v>
      </c>
    </row>
    <row r="201" spans="1:14" x14ac:dyDescent="0.3">
      <c r="A201" t="s">
        <v>214</v>
      </c>
      <c r="B201">
        <v>67</v>
      </c>
      <c r="C201">
        <v>36</v>
      </c>
      <c r="D201" s="1">
        <v>46046.493750000001</v>
      </c>
      <c r="E201">
        <v>99</v>
      </c>
      <c r="F201" t="s">
        <v>12</v>
      </c>
      <c r="G201" t="s">
        <v>10</v>
      </c>
      <c r="H201">
        <v>7</v>
      </c>
      <c r="I201" t="str">
        <f>IFERROR(VLOOKUP(C201, merchants!$A$2:$D$41, 2, FALSE), "Merchant not found")</f>
        <v>Merchant_036</v>
      </c>
      <c r="J201" t="str">
        <f>IFERROR(VLOOKUP(C201, merchants!$A$2:$D$41, 3, FALSE), "Merchant not found")</f>
        <v>entertainment</v>
      </c>
      <c r="K201" t="str">
        <f>IFERROR(VLOOKUP(C201, merchants!$A$2:$D$41, 4, FALSE), "Merchant not found")</f>
        <v>East</v>
      </c>
      <c r="L201" s="2">
        <f>HLOOKUP(F201, merchants!$F$1:$I$2, 2, FALSE)</f>
        <v>0</v>
      </c>
      <c r="M201" t="str">
        <f t="shared" si="6"/>
        <v>Regular</v>
      </c>
      <c r="N201" s="5">
        <f t="shared" si="7"/>
        <v>46046</v>
      </c>
    </row>
    <row r="202" spans="1:14" x14ac:dyDescent="0.3">
      <c r="A202" t="s">
        <v>215</v>
      </c>
      <c r="B202">
        <v>169</v>
      </c>
      <c r="C202">
        <v>8</v>
      </c>
      <c r="D202" s="1">
        <v>46041.732638888891</v>
      </c>
      <c r="E202">
        <v>99</v>
      </c>
      <c r="F202" t="s">
        <v>12</v>
      </c>
      <c r="G202" t="s">
        <v>10</v>
      </c>
      <c r="H202">
        <v>52</v>
      </c>
      <c r="I202" t="str">
        <f>IFERROR(VLOOKUP(C202, merchants!$A$2:$D$41, 2, FALSE), "Merchant not found")</f>
        <v>Merchant_008</v>
      </c>
      <c r="J202" t="str">
        <f>IFERROR(VLOOKUP(C202, merchants!$A$2:$D$41, 3, FALSE), "Merchant not found")</f>
        <v>food_delivery</v>
      </c>
      <c r="K202" t="str">
        <f>IFERROR(VLOOKUP(C202, merchants!$A$2:$D$41, 4, FALSE), "Merchant not found")</f>
        <v>North</v>
      </c>
      <c r="L202" s="2">
        <f>HLOOKUP(F202, merchants!$F$1:$I$2, 2, FALSE)</f>
        <v>0</v>
      </c>
      <c r="M202" t="str">
        <f t="shared" si="6"/>
        <v>Regular</v>
      </c>
      <c r="N202" s="5">
        <f t="shared" si="7"/>
        <v>46041</v>
      </c>
    </row>
    <row r="203" spans="1:14" x14ac:dyDescent="0.3">
      <c r="A203" t="s">
        <v>216</v>
      </c>
      <c r="B203">
        <v>217</v>
      </c>
      <c r="C203">
        <v>4</v>
      </c>
      <c r="D203" s="1">
        <v>46034.908333333333</v>
      </c>
      <c r="E203">
        <v>49</v>
      </c>
      <c r="F203" t="s">
        <v>12</v>
      </c>
      <c r="G203" t="s">
        <v>10</v>
      </c>
      <c r="H203">
        <v>36</v>
      </c>
      <c r="I203" t="str">
        <f>IFERROR(VLOOKUP(C203, merchants!$A$2:$D$41, 2, FALSE), "Merchant not found")</f>
        <v>Merchant_004</v>
      </c>
      <c r="J203" t="str">
        <f>IFERROR(VLOOKUP(C203, merchants!$A$2:$D$41, 3, FALSE), "Merchant not found")</f>
        <v>ecommerce</v>
      </c>
      <c r="K203" t="str">
        <f>IFERROR(VLOOKUP(C203, merchants!$A$2:$D$41, 4, FALSE), "Merchant not found")</f>
        <v>East</v>
      </c>
      <c r="L203" s="2">
        <f>HLOOKUP(F203, merchants!$F$1:$I$2, 2, FALSE)</f>
        <v>0</v>
      </c>
      <c r="M203" t="str">
        <f t="shared" si="6"/>
        <v>Regular</v>
      </c>
      <c r="N203" s="5">
        <f t="shared" si="7"/>
        <v>46034</v>
      </c>
    </row>
    <row r="204" spans="1:14" x14ac:dyDescent="0.3">
      <c r="A204" t="s">
        <v>217</v>
      </c>
      <c r="B204">
        <v>54</v>
      </c>
      <c r="C204">
        <v>37</v>
      </c>
      <c r="D204" s="1">
        <v>46042.390277777777</v>
      </c>
      <c r="E204">
        <v>149</v>
      </c>
      <c r="F204" t="s">
        <v>12</v>
      </c>
      <c r="G204" t="s">
        <v>10</v>
      </c>
      <c r="H204">
        <v>64</v>
      </c>
      <c r="I204" t="str">
        <f>IFERROR(VLOOKUP(C204, merchants!$A$2:$D$41, 2, FALSE), "Merchant not found")</f>
        <v>Merchant_037</v>
      </c>
      <c r="J204" t="str">
        <f>IFERROR(VLOOKUP(C204, merchants!$A$2:$D$41, 3, FALSE), "Merchant not found")</f>
        <v>entertainment</v>
      </c>
      <c r="K204" t="str">
        <f>IFERROR(VLOOKUP(C204, merchants!$A$2:$D$41, 4, FALSE), "Merchant not found")</f>
        <v>South</v>
      </c>
      <c r="L204" s="2">
        <f>HLOOKUP(F204, merchants!$F$1:$I$2, 2, FALSE)</f>
        <v>0</v>
      </c>
      <c r="M204" t="str">
        <f t="shared" si="6"/>
        <v>Regular</v>
      </c>
      <c r="N204" s="5">
        <f t="shared" si="7"/>
        <v>46042</v>
      </c>
    </row>
    <row r="205" spans="1:14" x14ac:dyDescent="0.3">
      <c r="A205" t="s">
        <v>218</v>
      </c>
      <c r="B205">
        <v>247</v>
      </c>
      <c r="C205">
        <v>15</v>
      </c>
      <c r="D205" s="1">
        <v>46029.195833333331</v>
      </c>
      <c r="E205">
        <v>49</v>
      </c>
      <c r="F205" t="s">
        <v>24</v>
      </c>
      <c r="G205" t="s">
        <v>10</v>
      </c>
      <c r="H205">
        <v>13</v>
      </c>
      <c r="I205" t="str">
        <f>IFERROR(VLOOKUP(C205, merchants!$A$2:$D$41, 2, FALSE), "Merchant not found")</f>
        <v>Merchant_015</v>
      </c>
      <c r="J205" t="str">
        <f>IFERROR(VLOOKUP(C205, merchants!$A$2:$D$41, 3, FALSE), "Merchant not found")</f>
        <v>travel</v>
      </c>
      <c r="K205" t="str">
        <f>IFERROR(VLOOKUP(C205, merchants!$A$2:$D$41, 4, FALSE), "Merchant not found")</f>
        <v>North</v>
      </c>
      <c r="L205" s="2">
        <f>HLOOKUP(F205, merchants!$F$1:$I$2, 2, FALSE)</f>
        <v>0.02</v>
      </c>
      <c r="M205" t="str">
        <f t="shared" si="6"/>
        <v>Regular</v>
      </c>
      <c r="N205" s="5">
        <f t="shared" si="7"/>
        <v>46029</v>
      </c>
    </row>
    <row r="206" spans="1:14" x14ac:dyDescent="0.3">
      <c r="A206" t="s">
        <v>219</v>
      </c>
      <c r="B206">
        <v>59</v>
      </c>
      <c r="C206">
        <v>18</v>
      </c>
      <c r="D206" s="1">
        <v>46034.724305555559</v>
      </c>
      <c r="E206">
        <v>49</v>
      </c>
      <c r="F206" t="s">
        <v>24</v>
      </c>
      <c r="G206" t="s">
        <v>10</v>
      </c>
      <c r="H206">
        <v>73</v>
      </c>
      <c r="I206" t="str">
        <f>IFERROR(VLOOKUP(C206, merchants!$A$2:$D$41, 2, FALSE), "Merchant not found")</f>
        <v>Merchant_018</v>
      </c>
      <c r="J206" t="str">
        <f>IFERROR(VLOOKUP(C206, merchants!$A$2:$D$41, 3, FALSE), "Merchant not found")</f>
        <v>grocery</v>
      </c>
      <c r="K206" t="str">
        <f>IFERROR(VLOOKUP(C206, merchants!$A$2:$D$41, 4, FALSE), "Merchant not found")</f>
        <v>West</v>
      </c>
      <c r="L206" s="2">
        <f>HLOOKUP(F206, merchants!$F$1:$I$2, 2, FALSE)</f>
        <v>0.02</v>
      </c>
      <c r="M206" t="str">
        <f t="shared" si="6"/>
        <v>Regular</v>
      </c>
      <c r="N206" s="5">
        <f t="shared" si="7"/>
        <v>46034</v>
      </c>
    </row>
    <row r="207" spans="1:14" x14ac:dyDescent="0.3">
      <c r="A207" t="s">
        <v>220</v>
      </c>
      <c r="B207">
        <v>288</v>
      </c>
      <c r="C207">
        <v>40</v>
      </c>
      <c r="D207" s="1">
        <v>46030.57916666667</v>
      </c>
      <c r="E207">
        <v>49</v>
      </c>
      <c r="F207" t="s">
        <v>12</v>
      </c>
      <c r="G207" t="s">
        <v>25</v>
      </c>
      <c r="H207">
        <v>78</v>
      </c>
      <c r="I207" t="str">
        <f>IFERROR(VLOOKUP(C207, merchants!$A$2:$D$41, 2, FALSE), "Merchant not found")</f>
        <v>Merchant_040</v>
      </c>
      <c r="J207" t="str">
        <f>IFERROR(VLOOKUP(C207, merchants!$A$2:$D$41, 3, FALSE), "Merchant not found")</f>
        <v>entertainment</v>
      </c>
      <c r="K207" t="str">
        <f>IFERROR(VLOOKUP(C207, merchants!$A$2:$D$41, 4, FALSE), "Merchant not found")</f>
        <v>South</v>
      </c>
      <c r="L207" s="2">
        <f>HLOOKUP(F207, merchants!$F$1:$I$2, 2, FALSE)</f>
        <v>0</v>
      </c>
      <c r="M207" t="str">
        <f t="shared" si="6"/>
        <v>Regular</v>
      </c>
      <c r="N207" s="5">
        <f t="shared" si="7"/>
        <v>46030</v>
      </c>
    </row>
    <row r="208" spans="1:14" x14ac:dyDescent="0.3">
      <c r="A208" t="s">
        <v>221</v>
      </c>
      <c r="B208">
        <v>14</v>
      </c>
      <c r="C208">
        <v>39</v>
      </c>
      <c r="D208" s="1">
        <v>46044.857638888891</v>
      </c>
      <c r="E208">
        <v>799</v>
      </c>
      <c r="F208" t="s">
        <v>12</v>
      </c>
      <c r="G208" t="s">
        <v>10</v>
      </c>
      <c r="H208">
        <v>84</v>
      </c>
      <c r="I208" t="str">
        <f>IFERROR(VLOOKUP(C208, merchants!$A$2:$D$41, 2, FALSE), "Merchant not found")</f>
        <v>Merchant_039</v>
      </c>
      <c r="J208" t="str">
        <f>IFERROR(VLOOKUP(C208, merchants!$A$2:$D$41, 3, FALSE), "Merchant not found")</f>
        <v>entertainment</v>
      </c>
      <c r="K208" t="str">
        <f>IFERROR(VLOOKUP(C208, merchants!$A$2:$D$41, 4, FALSE), "Merchant not found")</f>
        <v>North</v>
      </c>
      <c r="L208" s="2">
        <f>HLOOKUP(F208, merchants!$F$1:$I$2, 2, FALSE)</f>
        <v>0</v>
      </c>
      <c r="M208" t="str">
        <f t="shared" si="6"/>
        <v>High-Value Day</v>
      </c>
      <c r="N208" s="5">
        <f t="shared" si="7"/>
        <v>46044</v>
      </c>
    </row>
    <row r="209" spans="1:14" x14ac:dyDescent="0.3">
      <c r="A209" t="s">
        <v>222</v>
      </c>
      <c r="B209">
        <v>15</v>
      </c>
      <c r="C209">
        <v>12</v>
      </c>
      <c r="D209" s="1">
        <v>46049.928472222222</v>
      </c>
      <c r="E209">
        <v>149</v>
      </c>
      <c r="F209" t="s">
        <v>12</v>
      </c>
      <c r="G209" t="s">
        <v>10</v>
      </c>
      <c r="H209">
        <v>34</v>
      </c>
      <c r="I209" t="str">
        <f>IFERROR(VLOOKUP(C209, merchants!$A$2:$D$41, 2, FALSE), "Merchant not found")</f>
        <v>Merchant_012</v>
      </c>
      <c r="J209" t="str">
        <f>IFERROR(VLOOKUP(C209, merchants!$A$2:$D$41, 3, FALSE), "Merchant not found")</f>
        <v>ecommerce</v>
      </c>
      <c r="K209" t="str">
        <f>IFERROR(VLOOKUP(C209, merchants!$A$2:$D$41, 4, FALSE), "Merchant not found")</f>
        <v>East</v>
      </c>
      <c r="L209" s="2">
        <f>HLOOKUP(F209, merchants!$F$1:$I$2, 2, FALSE)</f>
        <v>0</v>
      </c>
      <c r="M209" t="str">
        <f t="shared" si="6"/>
        <v>Regular</v>
      </c>
      <c r="N209" s="5">
        <f t="shared" si="7"/>
        <v>46049</v>
      </c>
    </row>
    <row r="210" spans="1:14" x14ac:dyDescent="0.3">
      <c r="A210" t="s">
        <v>223</v>
      </c>
      <c r="B210">
        <v>174</v>
      </c>
      <c r="C210">
        <v>23</v>
      </c>
      <c r="D210" s="1">
        <v>46045.415277777778</v>
      </c>
      <c r="E210">
        <v>149</v>
      </c>
      <c r="F210" t="s">
        <v>12</v>
      </c>
      <c r="G210" t="s">
        <v>10</v>
      </c>
      <c r="H210">
        <v>0</v>
      </c>
      <c r="I210" t="str">
        <f>IFERROR(VLOOKUP(C210, merchants!$A$2:$D$41, 2, FALSE), "Merchant not found")</f>
        <v>Merchant_023</v>
      </c>
      <c r="J210" t="str">
        <f>IFERROR(VLOOKUP(C210, merchants!$A$2:$D$41, 3, FALSE), "Merchant not found")</f>
        <v>travel</v>
      </c>
      <c r="K210" t="str">
        <f>IFERROR(VLOOKUP(C210, merchants!$A$2:$D$41, 4, FALSE), "Merchant not found")</f>
        <v>North</v>
      </c>
      <c r="L210" s="2">
        <f>HLOOKUP(F210, merchants!$F$1:$I$2, 2, FALSE)</f>
        <v>0</v>
      </c>
      <c r="M210" t="str">
        <f t="shared" si="6"/>
        <v>Regular</v>
      </c>
      <c r="N210" s="5">
        <f t="shared" si="7"/>
        <v>46045</v>
      </c>
    </row>
    <row r="211" spans="1:14" x14ac:dyDescent="0.3">
      <c r="A211" t="s">
        <v>224</v>
      </c>
      <c r="B211">
        <v>337</v>
      </c>
      <c r="C211">
        <v>26</v>
      </c>
      <c r="D211" s="1">
        <v>46028.191666666666</v>
      </c>
      <c r="E211">
        <v>49</v>
      </c>
      <c r="F211" t="s">
        <v>12</v>
      </c>
      <c r="G211" t="s">
        <v>10</v>
      </c>
      <c r="H211">
        <v>8</v>
      </c>
      <c r="I211" t="str">
        <f>IFERROR(VLOOKUP(C211, merchants!$A$2:$D$41, 2, FALSE), "Merchant not found")</f>
        <v>Merchant_026</v>
      </c>
      <c r="J211" t="str">
        <f>IFERROR(VLOOKUP(C211, merchants!$A$2:$D$41, 3, FALSE), "Merchant not found")</f>
        <v>food_delivery</v>
      </c>
      <c r="K211" t="str">
        <f>IFERROR(VLOOKUP(C211, merchants!$A$2:$D$41, 4, FALSE), "Merchant not found")</f>
        <v>East</v>
      </c>
      <c r="L211" s="2">
        <f>HLOOKUP(F211, merchants!$F$1:$I$2, 2, FALSE)</f>
        <v>0</v>
      </c>
      <c r="M211" t="str">
        <f t="shared" si="6"/>
        <v>Regular</v>
      </c>
      <c r="N211" s="5">
        <f t="shared" si="7"/>
        <v>46028</v>
      </c>
    </row>
    <row r="212" spans="1:14" x14ac:dyDescent="0.3">
      <c r="A212" t="s">
        <v>225</v>
      </c>
      <c r="B212">
        <v>16</v>
      </c>
      <c r="C212">
        <v>6</v>
      </c>
      <c r="D212" s="1">
        <v>46027.986111111109</v>
      </c>
      <c r="E212">
        <v>1499</v>
      </c>
      <c r="F212" t="s">
        <v>12</v>
      </c>
      <c r="G212" t="s">
        <v>10</v>
      </c>
      <c r="H212">
        <v>95</v>
      </c>
      <c r="I212" t="str">
        <f>IFERROR(VLOOKUP(C212, merchants!$A$2:$D$41, 2, FALSE), "Merchant not found")</f>
        <v>Merchant_006</v>
      </c>
      <c r="J212" t="str">
        <f>IFERROR(VLOOKUP(C212, merchants!$A$2:$D$41, 3, FALSE), "Merchant not found")</f>
        <v>food_delivery</v>
      </c>
      <c r="K212" t="str">
        <f>IFERROR(VLOOKUP(C212, merchants!$A$2:$D$41, 4, FALSE), "Merchant not found")</f>
        <v>South</v>
      </c>
      <c r="L212" s="2">
        <f>HLOOKUP(F212, merchants!$F$1:$I$2, 2, FALSE)</f>
        <v>0</v>
      </c>
      <c r="M212" t="str">
        <f t="shared" si="6"/>
        <v>Regular</v>
      </c>
      <c r="N212" s="5">
        <f t="shared" si="7"/>
        <v>46027</v>
      </c>
    </row>
    <row r="213" spans="1:14" x14ac:dyDescent="0.3">
      <c r="A213" t="s">
        <v>226</v>
      </c>
      <c r="B213">
        <v>215</v>
      </c>
      <c r="C213">
        <v>30</v>
      </c>
      <c r="D213" s="1">
        <v>46039.26666666667</v>
      </c>
      <c r="E213">
        <v>49</v>
      </c>
      <c r="F213" t="s">
        <v>12</v>
      </c>
      <c r="G213" t="s">
        <v>10</v>
      </c>
      <c r="H213">
        <v>43</v>
      </c>
      <c r="I213" t="str">
        <f>IFERROR(VLOOKUP(C213, merchants!$A$2:$D$41, 2, FALSE), "Merchant not found")</f>
        <v>Merchant_030</v>
      </c>
      <c r="J213" t="str">
        <f>IFERROR(VLOOKUP(C213, merchants!$A$2:$D$41, 3, FALSE), "Merchant not found")</f>
        <v>travel</v>
      </c>
      <c r="K213" t="str">
        <f>IFERROR(VLOOKUP(C213, merchants!$A$2:$D$41, 4, FALSE), "Merchant not found")</f>
        <v>West</v>
      </c>
      <c r="L213" s="2">
        <f>HLOOKUP(F213, merchants!$F$1:$I$2, 2, FALSE)</f>
        <v>0</v>
      </c>
      <c r="M213" t="str">
        <f t="shared" si="6"/>
        <v>Regular</v>
      </c>
      <c r="N213" s="5">
        <f t="shared" si="7"/>
        <v>46039</v>
      </c>
    </row>
    <row r="214" spans="1:14" x14ac:dyDescent="0.3">
      <c r="A214" t="s">
        <v>227</v>
      </c>
      <c r="B214">
        <v>167</v>
      </c>
      <c r="C214">
        <v>37</v>
      </c>
      <c r="D214" s="1">
        <v>46028.47152777778</v>
      </c>
      <c r="E214">
        <v>99</v>
      </c>
      <c r="F214" t="s">
        <v>12</v>
      </c>
      <c r="G214" t="s">
        <v>10</v>
      </c>
      <c r="H214">
        <v>76</v>
      </c>
      <c r="I214" t="str">
        <f>IFERROR(VLOOKUP(C214, merchants!$A$2:$D$41, 2, FALSE), "Merchant not found")</f>
        <v>Merchant_037</v>
      </c>
      <c r="J214" t="str">
        <f>IFERROR(VLOOKUP(C214, merchants!$A$2:$D$41, 3, FALSE), "Merchant not found")</f>
        <v>entertainment</v>
      </c>
      <c r="K214" t="str">
        <f>IFERROR(VLOOKUP(C214, merchants!$A$2:$D$41, 4, FALSE), "Merchant not found")</f>
        <v>South</v>
      </c>
      <c r="L214" s="2">
        <f>HLOOKUP(F214, merchants!$F$1:$I$2, 2, FALSE)</f>
        <v>0</v>
      </c>
      <c r="M214" t="str">
        <f t="shared" si="6"/>
        <v>Regular</v>
      </c>
      <c r="N214" s="5">
        <f t="shared" si="7"/>
        <v>46028</v>
      </c>
    </row>
    <row r="215" spans="1:14" x14ac:dyDescent="0.3">
      <c r="A215" t="s">
        <v>228</v>
      </c>
      <c r="B215">
        <v>81</v>
      </c>
      <c r="C215">
        <v>40</v>
      </c>
      <c r="D215" s="1">
        <v>46025.04791666667</v>
      </c>
      <c r="E215">
        <v>49</v>
      </c>
      <c r="F215" t="s">
        <v>12</v>
      </c>
      <c r="G215" t="s">
        <v>10</v>
      </c>
      <c r="H215">
        <v>6</v>
      </c>
      <c r="I215" t="str">
        <f>IFERROR(VLOOKUP(C215, merchants!$A$2:$D$41, 2, FALSE), "Merchant not found")</f>
        <v>Merchant_040</v>
      </c>
      <c r="J215" t="str">
        <f>IFERROR(VLOOKUP(C215, merchants!$A$2:$D$41, 3, FALSE), "Merchant not found")</f>
        <v>entertainment</v>
      </c>
      <c r="K215" t="str">
        <f>IFERROR(VLOOKUP(C215, merchants!$A$2:$D$41, 4, FALSE), "Merchant not found")</f>
        <v>South</v>
      </c>
      <c r="L215" s="2">
        <f>HLOOKUP(F215, merchants!$F$1:$I$2, 2, FALSE)</f>
        <v>0</v>
      </c>
      <c r="M215" t="str">
        <f t="shared" si="6"/>
        <v>Regular</v>
      </c>
      <c r="N215" s="5">
        <f t="shared" si="7"/>
        <v>46025</v>
      </c>
    </row>
    <row r="216" spans="1:14" x14ac:dyDescent="0.3">
      <c r="A216" t="s">
        <v>229</v>
      </c>
      <c r="B216">
        <v>227</v>
      </c>
      <c r="C216">
        <v>28</v>
      </c>
      <c r="D216" s="1">
        <v>46044.095138888886</v>
      </c>
      <c r="E216">
        <v>99</v>
      </c>
      <c r="F216" t="s">
        <v>12</v>
      </c>
      <c r="G216" t="s">
        <v>10</v>
      </c>
      <c r="H216">
        <v>62</v>
      </c>
      <c r="I216" t="str">
        <f>IFERROR(VLOOKUP(C216, merchants!$A$2:$D$41, 2, FALSE), "Merchant not found")</f>
        <v>Merchant_028</v>
      </c>
      <c r="J216" t="str">
        <f>IFERROR(VLOOKUP(C216, merchants!$A$2:$D$41, 3, FALSE), "Merchant not found")</f>
        <v>ecommerce</v>
      </c>
      <c r="K216" t="str">
        <f>IFERROR(VLOOKUP(C216, merchants!$A$2:$D$41, 4, FALSE), "Merchant not found")</f>
        <v>South</v>
      </c>
      <c r="L216" s="2">
        <f>HLOOKUP(F216, merchants!$F$1:$I$2, 2, FALSE)</f>
        <v>0</v>
      </c>
      <c r="M216" t="str">
        <f t="shared" si="6"/>
        <v>Regular</v>
      </c>
      <c r="N216" s="5">
        <f t="shared" si="7"/>
        <v>46044</v>
      </c>
    </row>
    <row r="217" spans="1:14" x14ac:dyDescent="0.3">
      <c r="A217" t="s">
        <v>230</v>
      </c>
      <c r="B217">
        <v>140</v>
      </c>
      <c r="C217">
        <v>14</v>
      </c>
      <c r="D217" s="1">
        <v>46042.601388888892</v>
      </c>
      <c r="E217">
        <v>299</v>
      </c>
      <c r="F217" t="s">
        <v>9</v>
      </c>
      <c r="G217" t="s">
        <v>10</v>
      </c>
      <c r="H217">
        <v>96</v>
      </c>
      <c r="I217" t="str">
        <f>IFERROR(VLOOKUP(C217, merchants!$A$2:$D$41, 2, FALSE), "Merchant not found")</f>
        <v>Merchant_014</v>
      </c>
      <c r="J217" t="str">
        <f>IFERROR(VLOOKUP(C217, merchants!$A$2:$D$41, 3, FALSE), "Merchant not found")</f>
        <v>grocery</v>
      </c>
      <c r="K217" t="str">
        <f>IFERROR(VLOOKUP(C217, merchants!$A$2:$D$41, 4, FALSE), "Merchant not found")</f>
        <v>East</v>
      </c>
      <c r="L217" s="2">
        <f>HLOOKUP(F217, merchants!$F$1:$I$2, 2, FALSE)</f>
        <v>1.4999999999999999E-2</v>
      </c>
      <c r="M217" t="str">
        <f t="shared" si="6"/>
        <v>Regular</v>
      </c>
      <c r="N217" s="5">
        <f t="shared" si="7"/>
        <v>46042</v>
      </c>
    </row>
    <row r="218" spans="1:14" x14ac:dyDescent="0.3">
      <c r="A218" t="s">
        <v>231</v>
      </c>
      <c r="B218">
        <v>221</v>
      </c>
      <c r="C218">
        <v>8</v>
      </c>
      <c r="D218" s="1">
        <v>46039.140277777777</v>
      </c>
      <c r="E218">
        <v>299</v>
      </c>
      <c r="F218" t="s">
        <v>12</v>
      </c>
      <c r="G218" t="s">
        <v>10</v>
      </c>
      <c r="H218">
        <v>36</v>
      </c>
      <c r="I218" t="str">
        <f>IFERROR(VLOOKUP(C218, merchants!$A$2:$D$41, 2, FALSE), "Merchant not found")</f>
        <v>Merchant_008</v>
      </c>
      <c r="J218" t="str">
        <f>IFERROR(VLOOKUP(C218, merchants!$A$2:$D$41, 3, FALSE), "Merchant not found")</f>
        <v>food_delivery</v>
      </c>
      <c r="K218" t="str">
        <f>IFERROR(VLOOKUP(C218, merchants!$A$2:$D$41, 4, FALSE), "Merchant not found")</f>
        <v>North</v>
      </c>
      <c r="L218" s="2">
        <f>HLOOKUP(F218, merchants!$F$1:$I$2, 2, FALSE)</f>
        <v>0</v>
      </c>
      <c r="M218" t="str">
        <f t="shared" si="6"/>
        <v>Regular</v>
      </c>
      <c r="N218" s="5">
        <f t="shared" si="7"/>
        <v>46039</v>
      </c>
    </row>
    <row r="219" spans="1:14" x14ac:dyDescent="0.3">
      <c r="A219" t="s">
        <v>232</v>
      </c>
      <c r="B219">
        <v>250</v>
      </c>
      <c r="C219">
        <v>34</v>
      </c>
      <c r="D219" s="1">
        <v>46044.900694444441</v>
      </c>
      <c r="E219">
        <v>299</v>
      </c>
      <c r="F219" t="s">
        <v>9</v>
      </c>
      <c r="G219" t="s">
        <v>10</v>
      </c>
      <c r="H219">
        <v>85</v>
      </c>
      <c r="I219" t="str">
        <f>IFERROR(VLOOKUP(C219, merchants!$A$2:$D$41, 2, FALSE), "Merchant not found")</f>
        <v>Merchant_034</v>
      </c>
      <c r="J219" t="str">
        <f>IFERROR(VLOOKUP(C219, merchants!$A$2:$D$41, 3, FALSE), "Merchant not found")</f>
        <v>travel</v>
      </c>
      <c r="K219" t="str">
        <f>IFERROR(VLOOKUP(C219, merchants!$A$2:$D$41, 4, FALSE), "Merchant not found")</f>
        <v>South</v>
      </c>
      <c r="L219" s="2">
        <f>HLOOKUP(F219, merchants!$F$1:$I$2, 2, FALSE)</f>
        <v>1.4999999999999999E-2</v>
      </c>
      <c r="M219" t="str">
        <f t="shared" si="6"/>
        <v>Regular</v>
      </c>
      <c r="N219" s="5">
        <f t="shared" si="7"/>
        <v>46044</v>
      </c>
    </row>
    <row r="220" spans="1:14" x14ac:dyDescent="0.3">
      <c r="A220" t="s">
        <v>233</v>
      </c>
      <c r="B220">
        <v>203</v>
      </c>
      <c r="C220">
        <v>39</v>
      </c>
      <c r="D220" s="1">
        <v>46032.051388888889</v>
      </c>
      <c r="E220">
        <v>49</v>
      </c>
      <c r="F220" t="s">
        <v>12</v>
      </c>
      <c r="G220" t="s">
        <v>10</v>
      </c>
      <c r="H220">
        <v>7</v>
      </c>
      <c r="I220" t="str">
        <f>IFERROR(VLOOKUP(C220, merchants!$A$2:$D$41, 2, FALSE), "Merchant not found")</f>
        <v>Merchant_039</v>
      </c>
      <c r="J220" t="str">
        <f>IFERROR(VLOOKUP(C220, merchants!$A$2:$D$41, 3, FALSE), "Merchant not found")</f>
        <v>entertainment</v>
      </c>
      <c r="K220" t="str">
        <f>IFERROR(VLOOKUP(C220, merchants!$A$2:$D$41, 4, FALSE), "Merchant not found")</f>
        <v>North</v>
      </c>
      <c r="L220" s="2">
        <f>HLOOKUP(F220, merchants!$F$1:$I$2, 2, FALSE)</f>
        <v>0</v>
      </c>
      <c r="M220" t="str">
        <f t="shared" si="6"/>
        <v>Regular</v>
      </c>
      <c r="N220" s="5">
        <f t="shared" si="7"/>
        <v>46032</v>
      </c>
    </row>
    <row r="221" spans="1:14" x14ac:dyDescent="0.3">
      <c r="A221" t="s">
        <v>234</v>
      </c>
      <c r="B221">
        <v>109</v>
      </c>
      <c r="C221">
        <v>9</v>
      </c>
      <c r="D221" s="1">
        <v>46023.263194444444</v>
      </c>
      <c r="E221">
        <v>499</v>
      </c>
      <c r="F221" t="s">
        <v>9</v>
      </c>
      <c r="G221" t="s">
        <v>10</v>
      </c>
      <c r="H221">
        <v>97</v>
      </c>
      <c r="I221" t="str">
        <f>IFERROR(VLOOKUP(C221, merchants!$A$2:$D$41, 2, FALSE), "Merchant not found")</f>
        <v>Merchant_009</v>
      </c>
      <c r="J221" t="str">
        <f>IFERROR(VLOOKUP(C221, merchants!$A$2:$D$41, 3, FALSE), "Merchant not found")</f>
        <v>ecommerce</v>
      </c>
      <c r="K221" t="str">
        <f>IFERROR(VLOOKUP(C221, merchants!$A$2:$D$41, 4, FALSE), "Merchant not found")</f>
        <v>North</v>
      </c>
      <c r="L221" s="2">
        <f>HLOOKUP(F221, merchants!$F$1:$I$2, 2, FALSE)</f>
        <v>1.4999999999999999E-2</v>
      </c>
      <c r="M221" t="str">
        <f t="shared" si="6"/>
        <v>Regular</v>
      </c>
      <c r="N221" s="5">
        <f t="shared" si="7"/>
        <v>46023</v>
      </c>
    </row>
    <row r="222" spans="1:14" x14ac:dyDescent="0.3">
      <c r="A222" t="s">
        <v>235</v>
      </c>
      <c r="B222">
        <v>62</v>
      </c>
      <c r="C222">
        <v>1</v>
      </c>
      <c r="D222" s="1">
        <v>46031.388888888891</v>
      </c>
      <c r="E222">
        <v>4999</v>
      </c>
      <c r="F222" t="s">
        <v>9</v>
      </c>
      <c r="G222" t="s">
        <v>10</v>
      </c>
      <c r="H222">
        <v>63</v>
      </c>
      <c r="I222" t="str">
        <f>IFERROR(VLOOKUP(C222, merchants!$A$2:$D$41, 2, FALSE), "Merchant not found")</f>
        <v>Merchant_001</v>
      </c>
      <c r="J222" t="str">
        <f>IFERROR(VLOOKUP(C222, merchants!$A$2:$D$41, 3, FALSE), "Merchant not found")</f>
        <v>ecommerce</v>
      </c>
      <c r="K222" t="str">
        <f>IFERROR(VLOOKUP(C222, merchants!$A$2:$D$41, 4, FALSE), "Merchant not found")</f>
        <v>South</v>
      </c>
      <c r="L222" s="2">
        <f>HLOOKUP(F222, merchants!$F$1:$I$2, 2, FALSE)</f>
        <v>1.4999999999999999E-2</v>
      </c>
      <c r="M222" t="str">
        <f t="shared" si="6"/>
        <v>High-Value Day</v>
      </c>
      <c r="N222" s="5">
        <f t="shared" si="7"/>
        <v>46031</v>
      </c>
    </row>
    <row r="223" spans="1:14" x14ac:dyDescent="0.3">
      <c r="A223" t="s">
        <v>236</v>
      </c>
      <c r="B223">
        <v>67</v>
      </c>
      <c r="C223">
        <v>25</v>
      </c>
      <c r="D223" s="1">
        <v>46046.549305555556</v>
      </c>
      <c r="E223">
        <v>49</v>
      </c>
      <c r="F223" t="s">
        <v>12</v>
      </c>
      <c r="G223" t="s">
        <v>10</v>
      </c>
      <c r="H223">
        <v>68</v>
      </c>
      <c r="I223" t="str">
        <f>IFERROR(VLOOKUP(C223, merchants!$A$2:$D$41, 2, FALSE), "Merchant not found")</f>
        <v>Merchant_025</v>
      </c>
      <c r="J223" t="str">
        <f>IFERROR(VLOOKUP(C223, merchants!$A$2:$D$41, 3, FALSE), "Merchant not found")</f>
        <v>travel</v>
      </c>
      <c r="K223" t="str">
        <f>IFERROR(VLOOKUP(C223, merchants!$A$2:$D$41, 4, FALSE), "Merchant not found")</f>
        <v>South</v>
      </c>
      <c r="L223" s="2">
        <f>HLOOKUP(F223, merchants!$F$1:$I$2, 2, FALSE)</f>
        <v>0</v>
      </c>
      <c r="M223" t="str">
        <f t="shared" si="6"/>
        <v>Regular</v>
      </c>
      <c r="N223" s="5">
        <f t="shared" si="7"/>
        <v>46046</v>
      </c>
    </row>
    <row r="224" spans="1:14" x14ac:dyDescent="0.3">
      <c r="A224" t="s">
        <v>237</v>
      </c>
      <c r="B224">
        <v>287</v>
      </c>
      <c r="C224">
        <v>23</v>
      </c>
      <c r="D224" s="1">
        <v>46045.313888888886</v>
      </c>
      <c r="E224">
        <v>49</v>
      </c>
      <c r="F224" t="s">
        <v>12</v>
      </c>
      <c r="G224" t="s">
        <v>10</v>
      </c>
      <c r="H224">
        <v>9</v>
      </c>
      <c r="I224" t="str">
        <f>IFERROR(VLOOKUP(C224, merchants!$A$2:$D$41, 2, FALSE), "Merchant not found")</f>
        <v>Merchant_023</v>
      </c>
      <c r="J224" t="str">
        <f>IFERROR(VLOOKUP(C224, merchants!$A$2:$D$41, 3, FALSE), "Merchant not found")</f>
        <v>travel</v>
      </c>
      <c r="K224" t="str">
        <f>IFERROR(VLOOKUP(C224, merchants!$A$2:$D$41, 4, FALSE), "Merchant not found")</f>
        <v>North</v>
      </c>
      <c r="L224" s="2">
        <f>HLOOKUP(F224, merchants!$F$1:$I$2, 2, FALSE)</f>
        <v>0</v>
      </c>
      <c r="M224" t="str">
        <f t="shared" si="6"/>
        <v>Regular</v>
      </c>
      <c r="N224" s="5">
        <f t="shared" si="7"/>
        <v>46045</v>
      </c>
    </row>
    <row r="225" spans="1:14" x14ac:dyDescent="0.3">
      <c r="A225" t="s">
        <v>238</v>
      </c>
      <c r="B225">
        <v>224</v>
      </c>
      <c r="C225">
        <v>2</v>
      </c>
      <c r="D225" s="1">
        <v>46035.959722222222</v>
      </c>
      <c r="E225">
        <v>49</v>
      </c>
      <c r="F225" t="s">
        <v>24</v>
      </c>
      <c r="G225" t="s">
        <v>10</v>
      </c>
      <c r="H225">
        <v>58</v>
      </c>
      <c r="I225" t="str">
        <f>IFERROR(VLOOKUP(C225, merchants!$A$2:$D$41, 2, FALSE), "Merchant not found")</f>
        <v>Merchant_002</v>
      </c>
      <c r="J225" t="str">
        <f>IFERROR(VLOOKUP(C225, merchants!$A$2:$D$41, 3, FALSE), "Merchant not found")</f>
        <v>grocery</v>
      </c>
      <c r="K225" t="str">
        <f>IFERROR(VLOOKUP(C225, merchants!$A$2:$D$41, 4, FALSE), "Merchant not found")</f>
        <v>West</v>
      </c>
      <c r="L225" s="2">
        <f>HLOOKUP(F225, merchants!$F$1:$I$2, 2, FALSE)</f>
        <v>0.02</v>
      </c>
      <c r="M225" t="str">
        <f t="shared" si="6"/>
        <v>Regular</v>
      </c>
      <c r="N225" s="5">
        <f t="shared" si="7"/>
        <v>46035</v>
      </c>
    </row>
    <row r="226" spans="1:14" x14ac:dyDescent="0.3">
      <c r="A226" t="s">
        <v>239</v>
      </c>
      <c r="B226">
        <v>161</v>
      </c>
      <c r="C226">
        <v>37</v>
      </c>
      <c r="D226" s="1">
        <v>46052.121527777781</v>
      </c>
      <c r="E226">
        <v>299</v>
      </c>
      <c r="F226" t="s">
        <v>12</v>
      </c>
      <c r="G226" t="s">
        <v>10</v>
      </c>
      <c r="H226">
        <v>54</v>
      </c>
      <c r="I226" t="str">
        <f>IFERROR(VLOOKUP(C226, merchants!$A$2:$D$41, 2, FALSE), "Merchant not found")</f>
        <v>Merchant_037</v>
      </c>
      <c r="J226" t="str">
        <f>IFERROR(VLOOKUP(C226, merchants!$A$2:$D$41, 3, FALSE), "Merchant not found")</f>
        <v>entertainment</v>
      </c>
      <c r="K226" t="str">
        <f>IFERROR(VLOOKUP(C226, merchants!$A$2:$D$41, 4, FALSE), "Merchant not found")</f>
        <v>South</v>
      </c>
      <c r="L226" s="2">
        <f>HLOOKUP(F226, merchants!$F$1:$I$2, 2, FALSE)</f>
        <v>0</v>
      </c>
      <c r="M226" t="str">
        <f t="shared" si="6"/>
        <v>Regular</v>
      </c>
      <c r="N226" s="5">
        <f t="shared" si="7"/>
        <v>46052</v>
      </c>
    </row>
    <row r="227" spans="1:14" x14ac:dyDescent="0.3">
      <c r="A227" t="s">
        <v>240</v>
      </c>
      <c r="B227">
        <v>328</v>
      </c>
      <c r="C227">
        <v>27</v>
      </c>
      <c r="D227" s="1">
        <v>46041.53125</v>
      </c>
      <c r="E227">
        <v>49</v>
      </c>
      <c r="F227" t="s">
        <v>12</v>
      </c>
      <c r="G227" t="s">
        <v>38</v>
      </c>
      <c r="H227">
        <v>37</v>
      </c>
      <c r="I227" t="str">
        <f>IFERROR(VLOOKUP(C227, merchants!$A$2:$D$41, 2, FALSE), "Merchant not found")</f>
        <v>Merchant_027</v>
      </c>
      <c r="J227" t="str">
        <f>IFERROR(VLOOKUP(C227, merchants!$A$2:$D$41, 3, FALSE), "Merchant not found")</f>
        <v>ecommerce</v>
      </c>
      <c r="K227" t="str">
        <f>IFERROR(VLOOKUP(C227, merchants!$A$2:$D$41, 4, FALSE), "Merchant not found")</f>
        <v>North</v>
      </c>
      <c r="L227" s="2">
        <f>HLOOKUP(F227, merchants!$F$1:$I$2, 2, FALSE)</f>
        <v>0</v>
      </c>
      <c r="M227" t="str">
        <f t="shared" si="6"/>
        <v>Regular</v>
      </c>
      <c r="N227" s="5">
        <f t="shared" si="7"/>
        <v>46041</v>
      </c>
    </row>
    <row r="228" spans="1:14" x14ac:dyDescent="0.3">
      <c r="A228" t="s">
        <v>241</v>
      </c>
      <c r="B228">
        <v>167</v>
      </c>
      <c r="C228">
        <v>11</v>
      </c>
      <c r="D228" s="1">
        <v>46026.500694444447</v>
      </c>
      <c r="E228">
        <v>1499</v>
      </c>
      <c r="F228" t="s">
        <v>24</v>
      </c>
      <c r="G228" t="s">
        <v>25</v>
      </c>
      <c r="H228">
        <v>79</v>
      </c>
      <c r="I228" t="str">
        <f>IFERROR(VLOOKUP(C228, merchants!$A$2:$D$41, 2, FALSE), "Merchant not found")</f>
        <v>Merchant_011</v>
      </c>
      <c r="J228" t="str">
        <f>IFERROR(VLOOKUP(C228, merchants!$A$2:$D$41, 3, FALSE), "Merchant not found")</f>
        <v>ecommerce</v>
      </c>
      <c r="K228" t="str">
        <f>IFERROR(VLOOKUP(C228, merchants!$A$2:$D$41, 4, FALSE), "Merchant not found")</f>
        <v>North</v>
      </c>
      <c r="L228" s="2">
        <f>HLOOKUP(F228, merchants!$F$1:$I$2, 2, FALSE)</f>
        <v>0.02</v>
      </c>
      <c r="M228" t="str">
        <f t="shared" si="6"/>
        <v>Regular</v>
      </c>
      <c r="N228" s="5">
        <f t="shared" si="7"/>
        <v>46026</v>
      </c>
    </row>
    <row r="229" spans="1:14" x14ac:dyDescent="0.3">
      <c r="A229" t="s">
        <v>242</v>
      </c>
      <c r="B229">
        <v>186</v>
      </c>
      <c r="C229">
        <v>6</v>
      </c>
      <c r="D229" s="1">
        <v>46037.956944444442</v>
      </c>
      <c r="E229">
        <v>49</v>
      </c>
      <c r="F229" t="s">
        <v>9</v>
      </c>
      <c r="G229" t="s">
        <v>10</v>
      </c>
      <c r="H229">
        <v>55</v>
      </c>
      <c r="I229" t="str">
        <f>IFERROR(VLOOKUP(C229, merchants!$A$2:$D$41, 2, FALSE), "Merchant not found")</f>
        <v>Merchant_006</v>
      </c>
      <c r="J229" t="str">
        <f>IFERROR(VLOOKUP(C229, merchants!$A$2:$D$41, 3, FALSE), "Merchant not found")</f>
        <v>food_delivery</v>
      </c>
      <c r="K229" t="str">
        <f>IFERROR(VLOOKUP(C229, merchants!$A$2:$D$41, 4, FALSE), "Merchant not found")</f>
        <v>South</v>
      </c>
      <c r="L229" s="2">
        <f>HLOOKUP(F229, merchants!$F$1:$I$2, 2, FALSE)</f>
        <v>1.4999999999999999E-2</v>
      </c>
      <c r="M229" t="str">
        <f t="shared" si="6"/>
        <v>Regular</v>
      </c>
      <c r="N229" s="5">
        <f t="shared" si="7"/>
        <v>46037</v>
      </c>
    </row>
    <row r="230" spans="1:14" x14ac:dyDescent="0.3">
      <c r="A230" t="s">
        <v>243</v>
      </c>
      <c r="B230">
        <v>224</v>
      </c>
      <c r="C230">
        <v>38</v>
      </c>
      <c r="D230" s="1">
        <v>46050.135416666664</v>
      </c>
      <c r="E230">
        <v>299</v>
      </c>
      <c r="F230" t="s">
        <v>9</v>
      </c>
      <c r="G230" t="s">
        <v>25</v>
      </c>
      <c r="H230">
        <v>51</v>
      </c>
      <c r="I230" t="str">
        <f>IFERROR(VLOOKUP(C230, merchants!$A$2:$D$41, 2, FALSE), "Merchant not found")</f>
        <v>Merchant_038</v>
      </c>
      <c r="J230" t="str">
        <f>IFERROR(VLOOKUP(C230, merchants!$A$2:$D$41, 3, FALSE), "Merchant not found")</f>
        <v>grocery</v>
      </c>
      <c r="K230" t="str">
        <f>IFERROR(VLOOKUP(C230, merchants!$A$2:$D$41, 4, FALSE), "Merchant not found")</f>
        <v>East</v>
      </c>
      <c r="L230" s="2">
        <f>HLOOKUP(F230, merchants!$F$1:$I$2, 2, FALSE)</f>
        <v>1.4999999999999999E-2</v>
      </c>
      <c r="M230" t="str">
        <f t="shared" si="6"/>
        <v>Regular</v>
      </c>
      <c r="N230" s="5">
        <f t="shared" si="7"/>
        <v>46050</v>
      </c>
    </row>
    <row r="231" spans="1:14" x14ac:dyDescent="0.3">
      <c r="A231" t="s">
        <v>244</v>
      </c>
      <c r="B231">
        <v>159</v>
      </c>
      <c r="C231">
        <v>22</v>
      </c>
      <c r="D231" s="1">
        <v>46039.100694444445</v>
      </c>
      <c r="E231">
        <v>799</v>
      </c>
      <c r="F231" t="s">
        <v>12</v>
      </c>
      <c r="G231" t="s">
        <v>10</v>
      </c>
      <c r="H231">
        <v>28</v>
      </c>
      <c r="I231" t="str">
        <f>IFERROR(VLOOKUP(C231, merchants!$A$2:$D$41, 2, FALSE), "Merchant not found")</f>
        <v>Merchant_022</v>
      </c>
      <c r="J231" t="str">
        <f>IFERROR(VLOOKUP(C231, merchants!$A$2:$D$41, 3, FALSE), "Merchant not found")</f>
        <v>travel</v>
      </c>
      <c r="K231" t="str">
        <f>IFERROR(VLOOKUP(C231, merchants!$A$2:$D$41, 4, FALSE), "Merchant not found")</f>
        <v>South</v>
      </c>
      <c r="L231" s="2">
        <f>HLOOKUP(F231, merchants!$F$1:$I$2, 2, FALSE)</f>
        <v>0</v>
      </c>
      <c r="M231" t="str">
        <f t="shared" si="6"/>
        <v>Regular</v>
      </c>
      <c r="N231" s="5">
        <f t="shared" si="7"/>
        <v>46039</v>
      </c>
    </row>
    <row r="232" spans="1:14" x14ac:dyDescent="0.3">
      <c r="A232" t="s">
        <v>245</v>
      </c>
      <c r="B232">
        <v>262</v>
      </c>
      <c r="C232">
        <v>8</v>
      </c>
      <c r="D232" s="1">
        <v>46033.211111111108</v>
      </c>
      <c r="E232">
        <v>149</v>
      </c>
      <c r="F232" t="s">
        <v>12</v>
      </c>
      <c r="G232" t="s">
        <v>10</v>
      </c>
      <c r="H232">
        <v>67</v>
      </c>
      <c r="I232" t="str">
        <f>IFERROR(VLOOKUP(C232, merchants!$A$2:$D$41, 2, FALSE), "Merchant not found")</f>
        <v>Merchant_008</v>
      </c>
      <c r="J232" t="str">
        <f>IFERROR(VLOOKUP(C232, merchants!$A$2:$D$41, 3, FALSE), "Merchant not found")</f>
        <v>food_delivery</v>
      </c>
      <c r="K232" t="str">
        <f>IFERROR(VLOOKUP(C232, merchants!$A$2:$D$41, 4, FALSE), "Merchant not found")</f>
        <v>North</v>
      </c>
      <c r="L232" s="2">
        <f>HLOOKUP(F232, merchants!$F$1:$I$2, 2, FALSE)</f>
        <v>0</v>
      </c>
      <c r="M232" t="str">
        <f t="shared" si="6"/>
        <v>Regular</v>
      </c>
      <c r="N232" s="5">
        <f t="shared" si="7"/>
        <v>46033</v>
      </c>
    </row>
    <row r="233" spans="1:14" x14ac:dyDescent="0.3">
      <c r="A233" t="s">
        <v>246</v>
      </c>
      <c r="B233">
        <v>179</v>
      </c>
      <c r="C233">
        <v>23</v>
      </c>
      <c r="D233" s="1">
        <v>46039.289583333331</v>
      </c>
      <c r="E233">
        <v>49</v>
      </c>
      <c r="F233" t="s">
        <v>9</v>
      </c>
      <c r="G233" t="s">
        <v>10</v>
      </c>
      <c r="H233">
        <v>93</v>
      </c>
      <c r="I233" t="str">
        <f>IFERROR(VLOOKUP(C233, merchants!$A$2:$D$41, 2, FALSE), "Merchant not found")</f>
        <v>Merchant_023</v>
      </c>
      <c r="J233" t="str">
        <f>IFERROR(VLOOKUP(C233, merchants!$A$2:$D$41, 3, FALSE), "Merchant not found")</f>
        <v>travel</v>
      </c>
      <c r="K233" t="str">
        <f>IFERROR(VLOOKUP(C233, merchants!$A$2:$D$41, 4, FALSE), "Merchant not found")</f>
        <v>North</v>
      </c>
      <c r="L233" s="2">
        <f>HLOOKUP(F233, merchants!$F$1:$I$2, 2, FALSE)</f>
        <v>1.4999999999999999E-2</v>
      </c>
      <c r="M233" t="str">
        <f t="shared" si="6"/>
        <v>Regular</v>
      </c>
      <c r="N233" s="5">
        <f t="shared" si="7"/>
        <v>46039</v>
      </c>
    </row>
    <row r="234" spans="1:14" x14ac:dyDescent="0.3">
      <c r="A234" t="s">
        <v>247</v>
      </c>
      <c r="B234">
        <v>76</v>
      </c>
      <c r="C234">
        <v>16</v>
      </c>
      <c r="D234" s="1">
        <v>46049.869444444441</v>
      </c>
      <c r="E234">
        <v>299</v>
      </c>
      <c r="F234" t="s">
        <v>12</v>
      </c>
      <c r="G234" t="s">
        <v>10</v>
      </c>
      <c r="H234">
        <v>13</v>
      </c>
      <c r="I234" t="str">
        <f>IFERROR(VLOOKUP(C234, merchants!$A$2:$D$41, 2, FALSE), "Merchant not found")</f>
        <v>Merchant_016</v>
      </c>
      <c r="J234" t="str">
        <f>IFERROR(VLOOKUP(C234, merchants!$A$2:$D$41, 3, FALSE), "Merchant not found")</f>
        <v>bill_payment</v>
      </c>
      <c r="K234" t="str">
        <f>IFERROR(VLOOKUP(C234, merchants!$A$2:$D$41, 4, FALSE), "Merchant not found")</f>
        <v>West</v>
      </c>
      <c r="L234" s="2">
        <f>HLOOKUP(F234, merchants!$F$1:$I$2, 2, FALSE)</f>
        <v>0</v>
      </c>
      <c r="M234" t="str">
        <f t="shared" si="6"/>
        <v>Regular</v>
      </c>
      <c r="N234" s="5">
        <f t="shared" si="7"/>
        <v>46049</v>
      </c>
    </row>
    <row r="235" spans="1:14" x14ac:dyDescent="0.3">
      <c r="A235" t="s">
        <v>248</v>
      </c>
      <c r="B235">
        <v>89</v>
      </c>
      <c r="C235">
        <v>39</v>
      </c>
      <c r="D235" s="1">
        <v>46027.341666666667</v>
      </c>
      <c r="E235">
        <v>299</v>
      </c>
      <c r="F235" t="s">
        <v>12</v>
      </c>
      <c r="G235" t="s">
        <v>10</v>
      </c>
      <c r="H235">
        <v>19</v>
      </c>
      <c r="I235" t="str">
        <f>IFERROR(VLOOKUP(C235, merchants!$A$2:$D$41, 2, FALSE), "Merchant not found")</f>
        <v>Merchant_039</v>
      </c>
      <c r="J235" t="str">
        <f>IFERROR(VLOOKUP(C235, merchants!$A$2:$D$41, 3, FALSE), "Merchant not found")</f>
        <v>entertainment</v>
      </c>
      <c r="K235" t="str">
        <f>IFERROR(VLOOKUP(C235, merchants!$A$2:$D$41, 4, FALSE), "Merchant not found")</f>
        <v>North</v>
      </c>
      <c r="L235" s="2">
        <f>HLOOKUP(F235, merchants!$F$1:$I$2, 2, FALSE)</f>
        <v>0</v>
      </c>
      <c r="M235" t="str">
        <f t="shared" si="6"/>
        <v>Regular</v>
      </c>
      <c r="N235" s="5">
        <f t="shared" si="7"/>
        <v>46027</v>
      </c>
    </row>
    <row r="236" spans="1:14" x14ac:dyDescent="0.3">
      <c r="A236" t="s">
        <v>249</v>
      </c>
      <c r="B236">
        <v>91</v>
      </c>
      <c r="C236">
        <v>32</v>
      </c>
      <c r="D236" s="1">
        <v>46047.836111111108</v>
      </c>
      <c r="E236">
        <v>49</v>
      </c>
      <c r="F236" t="s">
        <v>12</v>
      </c>
      <c r="G236" t="s">
        <v>10</v>
      </c>
      <c r="H236">
        <v>59</v>
      </c>
      <c r="I236" t="str">
        <f>IFERROR(VLOOKUP(C236, merchants!$A$2:$D$41, 2, FALSE), "Merchant not found")</f>
        <v>Merchant_032</v>
      </c>
      <c r="J236" t="str">
        <f>IFERROR(VLOOKUP(C236, merchants!$A$2:$D$41, 3, FALSE), "Merchant not found")</f>
        <v>food_delivery</v>
      </c>
      <c r="K236" t="str">
        <f>IFERROR(VLOOKUP(C236, merchants!$A$2:$D$41, 4, FALSE), "Merchant not found")</f>
        <v>West</v>
      </c>
      <c r="L236" s="2">
        <f>HLOOKUP(F236, merchants!$F$1:$I$2, 2, FALSE)</f>
        <v>0</v>
      </c>
      <c r="M236" t="str">
        <f t="shared" si="6"/>
        <v>Regular</v>
      </c>
      <c r="N236" s="5">
        <f t="shared" si="7"/>
        <v>46047</v>
      </c>
    </row>
    <row r="237" spans="1:14" x14ac:dyDescent="0.3">
      <c r="A237" t="s">
        <v>250</v>
      </c>
      <c r="B237">
        <v>297</v>
      </c>
      <c r="C237">
        <v>29</v>
      </c>
      <c r="D237" s="1">
        <v>46047.783333333333</v>
      </c>
      <c r="E237">
        <v>99</v>
      </c>
      <c r="F237" t="s">
        <v>24</v>
      </c>
      <c r="G237" t="s">
        <v>38</v>
      </c>
      <c r="H237">
        <v>87</v>
      </c>
      <c r="I237" t="str">
        <f>IFERROR(VLOOKUP(C237, merchants!$A$2:$D$41, 2, FALSE), "Merchant not found")</f>
        <v>Merchant_029</v>
      </c>
      <c r="J237" t="str">
        <f>IFERROR(VLOOKUP(C237, merchants!$A$2:$D$41, 3, FALSE), "Merchant not found")</f>
        <v>ecommerce</v>
      </c>
      <c r="K237" t="str">
        <f>IFERROR(VLOOKUP(C237, merchants!$A$2:$D$41, 4, FALSE), "Merchant not found")</f>
        <v>North</v>
      </c>
      <c r="L237" s="2">
        <f>HLOOKUP(F237, merchants!$F$1:$I$2, 2, FALSE)</f>
        <v>0.02</v>
      </c>
      <c r="M237" t="str">
        <f t="shared" si="6"/>
        <v>Regular</v>
      </c>
      <c r="N237" s="5">
        <f t="shared" si="7"/>
        <v>46047</v>
      </c>
    </row>
    <row r="238" spans="1:14" x14ac:dyDescent="0.3">
      <c r="A238" t="s">
        <v>251</v>
      </c>
      <c r="B238">
        <v>326</v>
      </c>
      <c r="C238">
        <v>40</v>
      </c>
      <c r="D238" s="1">
        <v>46052.77847222222</v>
      </c>
      <c r="E238">
        <v>499</v>
      </c>
      <c r="F238" t="s">
        <v>24</v>
      </c>
      <c r="G238" t="s">
        <v>10</v>
      </c>
      <c r="H238">
        <v>41</v>
      </c>
      <c r="I238" t="str">
        <f>IFERROR(VLOOKUP(C238, merchants!$A$2:$D$41, 2, FALSE), "Merchant not found")</f>
        <v>Merchant_040</v>
      </c>
      <c r="J238" t="str">
        <f>IFERROR(VLOOKUP(C238, merchants!$A$2:$D$41, 3, FALSE), "Merchant not found")</f>
        <v>entertainment</v>
      </c>
      <c r="K238" t="str">
        <f>IFERROR(VLOOKUP(C238, merchants!$A$2:$D$41, 4, FALSE), "Merchant not found")</f>
        <v>South</v>
      </c>
      <c r="L238" s="2">
        <f>HLOOKUP(F238, merchants!$F$1:$I$2, 2, FALSE)</f>
        <v>0.02</v>
      </c>
      <c r="M238" t="str">
        <f t="shared" si="6"/>
        <v>Regular</v>
      </c>
      <c r="N238" s="5">
        <f t="shared" si="7"/>
        <v>46052</v>
      </c>
    </row>
    <row r="239" spans="1:14" x14ac:dyDescent="0.3">
      <c r="A239" t="s">
        <v>252</v>
      </c>
      <c r="B239">
        <v>78</v>
      </c>
      <c r="C239">
        <v>29</v>
      </c>
      <c r="D239" s="1">
        <v>46050.847222222219</v>
      </c>
      <c r="E239">
        <v>149</v>
      </c>
      <c r="F239" t="s">
        <v>12</v>
      </c>
      <c r="G239" t="s">
        <v>10</v>
      </c>
      <c r="H239">
        <v>8</v>
      </c>
      <c r="I239" t="str">
        <f>IFERROR(VLOOKUP(C239, merchants!$A$2:$D$41, 2, FALSE), "Merchant not found")</f>
        <v>Merchant_029</v>
      </c>
      <c r="J239" t="str">
        <f>IFERROR(VLOOKUP(C239, merchants!$A$2:$D$41, 3, FALSE), "Merchant not found")</f>
        <v>ecommerce</v>
      </c>
      <c r="K239" t="str">
        <f>IFERROR(VLOOKUP(C239, merchants!$A$2:$D$41, 4, FALSE), "Merchant not found")</f>
        <v>North</v>
      </c>
      <c r="L239" s="2">
        <f>HLOOKUP(F239, merchants!$F$1:$I$2, 2, FALSE)</f>
        <v>0</v>
      </c>
      <c r="M239" t="str">
        <f t="shared" si="6"/>
        <v>Regular</v>
      </c>
      <c r="N239" s="5">
        <f t="shared" si="7"/>
        <v>46050</v>
      </c>
    </row>
    <row r="240" spans="1:14" x14ac:dyDescent="0.3">
      <c r="A240" t="s">
        <v>253</v>
      </c>
      <c r="B240">
        <v>156</v>
      </c>
      <c r="C240">
        <v>18</v>
      </c>
      <c r="D240" s="1">
        <v>46038.611111111109</v>
      </c>
      <c r="E240">
        <v>2999</v>
      </c>
      <c r="F240" t="s">
        <v>24</v>
      </c>
      <c r="G240" t="s">
        <v>10</v>
      </c>
      <c r="H240">
        <v>75</v>
      </c>
      <c r="I240" t="str">
        <f>IFERROR(VLOOKUP(C240, merchants!$A$2:$D$41, 2, FALSE), "Merchant not found")</f>
        <v>Merchant_018</v>
      </c>
      <c r="J240" t="str">
        <f>IFERROR(VLOOKUP(C240, merchants!$A$2:$D$41, 3, FALSE), "Merchant not found")</f>
        <v>grocery</v>
      </c>
      <c r="K240" t="str">
        <f>IFERROR(VLOOKUP(C240, merchants!$A$2:$D$41, 4, FALSE), "Merchant not found")</f>
        <v>West</v>
      </c>
      <c r="L240" s="2">
        <f>HLOOKUP(F240, merchants!$F$1:$I$2, 2, FALSE)</f>
        <v>0.02</v>
      </c>
      <c r="M240" t="str">
        <f t="shared" si="6"/>
        <v>Regular</v>
      </c>
      <c r="N240" s="5">
        <f t="shared" si="7"/>
        <v>46038</v>
      </c>
    </row>
    <row r="241" spans="1:14" x14ac:dyDescent="0.3">
      <c r="A241" t="s">
        <v>254</v>
      </c>
      <c r="B241">
        <v>38</v>
      </c>
      <c r="C241">
        <v>20</v>
      </c>
      <c r="D241" s="1">
        <v>46024.480555555558</v>
      </c>
      <c r="E241">
        <v>49</v>
      </c>
      <c r="F241" t="s">
        <v>9</v>
      </c>
      <c r="G241" t="s">
        <v>25</v>
      </c>
      <c r="H241">
        <v>59</v>
      </c>
      <c r="I241" t="str">
        <f>IFERROR(VLOOKUP(C241, merchants!$A$2:$D$41, 2, FALSE), "Merchant not found")</f>
        <v>Merchant_020</v>
      </c>
      <c r="J241" t="str">
        <f>IFERROR(VLOOKUP(C241, merchants!$A$2:$D$41, 3, FALSE), "Merchant not found")</f>
        <v>food_delivery</v>
      </c>
      <c r="K241" t="str">
        <f>IFERROR(VLOOKUP(C241, merchants!$A$2:$D$41, 4, FALSE), "Merchant not found")</f>
        <v>East</v>
      </c>
      <c r="L241" s="2">
        <f>HLOOKUP(F241, merchants!$F$1:$I$2, 2, FALSE)</f>
        <v>1.4999999999999999E-2</v>
      </c>
      <c r="M241" t="str">
        <f t="shared" si="6"/>
        <v>Regular</v>
      </c>
      <c r="N241" s="5">
        <f t="shared" si="7"/>
        <v>46024</v>
      </c>
    </row>
    <row r="242" spans="1:14" x14ac:dyDescent="0.3">
      <c r="A242" t="s">
        <v>255</v>
      </c>
      <c r="B242">
        <v>189</v>
      </c>
      <c r="C242">
        <v>19</v>
      </c>
      <c r="D242" s="1">
        <v>46037.043749999997</v>
      </c>
      <c r="E242">
        <v>99</v>
      </c>
      <c r="F242" t="s">
        <v>12</v>
      </c>
      <c r="G242" t="s">
        <v>25</v>
      </c>
      <c r="H242">
        <v>9</v>
      </c>
      <c r="I242" t="str">
        <f>IFERROR(VLOOKUP(C242, merchants!$A$2:$D$41, 2, FALSE), "Merchant not found")</f>
        <v>Merchant_019</v>
      </c>
      <c r="J242" t="str">
        <f>IFERROR(VLOOKUP(C242, merchants!$A$2:$D$41, 3, FALSE), "Merchant not found")</f>
        <v>grocery</v>
      </c>
      <c r="K242" t="str">
        <f>IFERROR(VLOOKUP(C242, merchants!$A$2:$D$41, 4, FALSE), "Merchant not found")</f>
        <v>North</v>
      </c>
      <c r="L242" s="2">
        <f>HLOOKUP(F242, merchants!$F$1:$I$2, 2, FALSE)</f>
        <v>0</v>
      </c>
      <c r="M242" t="str">
        <f t="shared" si="6"/>
        <v>Regular</v>
      </c>
      <c r="N242" s="5">
        <f t="shared" si="7"/>
        <v>46037</v>
      </c>
    </row>
    <row r="243" spans="1:14" x14ac:dyDescent="0.3">
      <c r="A243" t="s">
        <v>256</v>
      </c>
      <c r="B243">
        <v>305</v>
      </c>
      <c r="C243">
        <v>33</v>
      </c>
      <c r="D243" s="1">
        <v>46043.11041666667</v>
      </c>
      <c r="E243">
        <v>299</v>
      </c>
      <c r="F243" t="s">
        <v>24</v>
      </c>
      <c r="G243" t="s">
        <v>10</v>
      </c>
      <c r="H243">
        <v>49</v>
      </c>
      <c r="I243" t="str">
        <f>IFERROR(VLOOKUP(C243, merchants!$A$2:$D$41, 2, FALSE), "Merchant not found")</f>
        <v>Merchant_033</v>
      </c>
      <c r="J243" t="str">
        <f>IFERROR(VLOOKUP(C243, merchants!$A$2:$D$41, 3, FALSE), "Merchant not found")</f>
        <v>bill_payment</v>
      </c>
      <c r="K243" t="str">
        <f>IFERROR(VLOOKUP(C243, merchants!$A$2:$D$41, 4, FALSE), "Merchant not found")</f>
        <v>East</v>
      </c>
      <c r="L243" s="2">
        <f>HLOOKUP(F243, merchants!$F$1:$I$2, 2, FALSE)</f>
        <v>0.02</v>
      </c>
      <c r="M243" t="str">
        <f t="shared" si="6"/>
        <v>Regular</v>
      </c>
      <c r="N243" s="5">
        <f t="shared" si="7"/>
        <v>46043</v>
      </c>
    </row>
    <row r="244" spans="1:14" x14ac:dyDescent="0.3">
      <c r="A244" t="s">
        <v>257</v>
      </c>
      <c r="B244">
        <v>22</v>
      </c>
      <c r="C244">
        <v>29</v>
      </c>
      <c r="D244" s="1">
        <v>46037.774305555555</v>
      </c>
      <c r="E244">
        <v>799</v>
      </c>
      <c r="F244" t="s">
        <v>12</v>
      </c>
      <c r="G244" t="s">
        <v>10</v>
      </c>
      <c r="H244">
        <v>73</v>
      </c>
      <c r="I244" t="str">
        <f>IFERROR(VLOOKUP(C244, merchants!$A$2:$D$41, 2, FALSE), "Merchant not found")</f>
        <v>Merchant_029</v>
      </c>
      <c r="J244" t="str">
        <f>IFERROR(VLOOKUP(C244, merchants!$A$2:$D$41, 3, FALSE), "Merchant not found")</f>
        <v>ecommerce</v>
      </c>
      <c r="K244" t="str">
        <f>IFERROR(VLOOKUP(C244, merchants!$A$2:$D$41, 4, FALSE), "Merchant not found")</f>
        <v>North</v>
      </c>
      <c r="L244" s="2">
        <f>HLOOKUP(F244, merchants!$F$1:$I$2, 2, FALSE)</f>
        <v>0</v>
      </c>
      <c r="M244" t="str">
        <f t="shared" si="6"/>
        <v>Regular</v>
      </c>
      <c r="N244" s="5">
        <f t="shared" si="7"/>
        <v>46037</v>
      </c>
    </row>
    <row r="245" spans="1:14" x14ac:dyDescent="0.3">
      <c r="A245" t="s">
        <v>258</v>
      </c>
      <c r="B245">
        <v>310</v>
      </c>
      <c r="C245">
        <v>31</v>
      </c>
      <c r="D245" s="1">
        <v>46043.263888888891</v>
      </c>
      <c r="E245">
        <v>49</v>
      </c>
      <c r="F245" t="s">
        <v>24</v>
      </c>
      <c r="G245" t="s">
        <v>10</v>
      </c>
      <c r="H245">
        <v>64</v>
      </c>
      <c r="I245" t="str">
        <f>IFERROR(VLOOKUP(C245, merchants!$A$2:$D$41, 2, FALSE), "Merchant not found")</f>
        <v>Merchant_031</v>
      </c>
      <c r="J245" t="str">
        <f>IFERROR(VLOOKUP(C245, merchants!$A$2:$D$41, 3, FALSE), "Merchant not found")</f>
        <v>bill_payment</v>
      </c>
      <c r="K245" t="str">
        <f>IFERROR(VLOOKUP(C245, merchants!$A$2:$D$41, 4, FALSE), "Merchant not found")</f>
        <v>East</v>
      </c>
      <c r="L245" s="2">
        <f>HLOOKUP(F245, merchants!$F$1:$I$2, 2, FALSE)</f>
        <v>0.02</v>
      </c>
      <c r="M245" t="str">
        <f t="shared" si="6"/>
        <v>Regular</v>
      </c>
      <c r="N245" s="5">
        <f t="shared" si="7"/>
        <v>46043</v>
      </c>
    </row>
    <row r="246" spans="1:14" x14ac:dyDescent="0.3">
      <c r="A246" t="s">
        <v>259</v>
      </c>
      <c r="B246">
        <v>53</v>
      </c>
      <c r="C246">
        <v>22</v>
      </c>
      <c r="D246" s="1">
        <v>46027.061111111114</v>
      </c>
      <c r="E246">
        <v>299</v>
      </c>
      <c r="F246" t="s">
        <v>12</v>
      </c>
      <c r="G246" t="s">
        <v>10</v>
      </c>
      <c r="H246">
        <v>91</v>
      </c>
      <c r="I246" t="str">
        <f>IFERROR(VLOOKUP(C246, merchants!$A$2:$D$41, 2, FALSE), "Merchant not found")</f>
        <v>Merchant_022</v>
      </c>
      <c r="J246" t="str">
        <f>IFERROR(VLOOKUP(C246, merchants!$A$2:$D$41, 3, FALSE), "Merchant not found")</f>
        <v>travel</v>
      </c>
      <c r="K246" t="str">
        <f>IFERROR(VLOOKUP(C246, merchants!$A$2:$D$41, 4, FALSE), "Merchant not found")</f>
        <v>South</v>
      </c>
      <c r="L246" s="2">
        <f>HLOOKUP(F246, merchants!$F$1:$I$2, 2, FALSE)</f>
        <v>0</v>
      </c>
      <c r="M246" t="str">
        <f t="shared" si="6"/>
        <v>Regular</v>
      </c>
      <c r="N246" s="5">
        <f t="shared" si="7"/>
        <v>46027</v>
      </c>
    </row>
    <row r="247" spans="1:14" x14ac:dyDescent="0.3">
      <c r="A247" t="s">
        <v>260</v>
      </c>
      <c r="B247">
        <v>89</v>
      </c>
      <c r="C247">
        <v>3</v>
      </c>
      <c r="D247" s="1">
        <v>46025.695138888892</v>
      </c>
      <c r="E247">
        <v>149</v>
      </c>
      <c r="F247" t="s">
        <v>24</v>
      </c>
      <c r="G247" t="s">
        <v>10</v>
      </c>
      <c r="H247">
        <v>31</v>
      </c>
      <c r="I247" t="str">
        <f>IFERROR(VLOOKUP(C247, merchants!$A$2:$D$41, 2, FALSE), "Merchant not found")</f>
        <v>Merchant_003</v>
      </c>
      <c r="J247" t="str">
        <f>IFERROR(VLOOKUP(C247, merchants!$A$2:$D$41, 3, FALSE), "Merchant not found")</f>
        <v>grocery</v>
      </c>
      <c r="K247" t="str">
        <f>IFERROR(VLOOKUP(C247, merchants!$A$2:$D$41, 4, FALSE), "Merchant not found")</f>
        <v>East</v>
      </c>
      <c r="L247" s="2">
        <f>HLOOKUP(F247, merchants!$F$1:$I$2, 2, FALSE)</f>
        <v>0.02</v>
      </c>
      <c r="M247" t="str">
        <f t="shared" si="6"/>
        <v>Regular</v>
      </c>
      <c r="N247" s="5">
        <f t="shared" si="7"/>
        <v>46025</v>
      </c>
    </row>
    <row r="248" spans="1:14" x14ac:dyDescent="0.3">
      <c r="A248" t="s">
        <v>261</v>
      </c>
      <c r="B248">
        <v>269</v>
      </c>
      <c r="C248">
        <v>34</v>
      </c>
      <c r="D248" s="1">
        <v>46045.602777777778</v>
      </c>
      <c r="E248">
        <v>149</v>
      </c>
      <c r="F248" t="s">
        <v>12</v>
      </c>
      <c r="G248" t="s">
        <v>10</v>
      </c>
      <c r="H248">
        <v>78</v>
      </c>
      <c r="I248" t="str">
        <f>IFERROR(VLOOKUP(C248, merchants!$A$2:$D$41, 2, FALSE), "Merchant not found")</f>
        <v>Merchant_034</v>
      </c>
      <c r="J248" t="str">
        <f>IFERROR(VLOOKUP(C248, merchants!$A$2:$D$41, 3, FALSE), "Merchant not found")</f>
        <v>travel</v>
      </c>
      <c r="K248" t="str">
        <f>IFERROR(VLOOKUP(C248, merchants!$A$2:$D$41, 4, FALSE), "Merchant not found")</f>
        <v>South</v>
      </c>
      <c r="L248" s="2">
        <f>HLOOKUP(F248, merchants!$F$1:$I$2, 2, FALSE)</f>
        <v>0</v>
      </c>
      <c r="M248" t="str">
        <f t="shared" si="6"/>
        <v>Regular</v>
      </c>
      <c r="N248" s="5">
        <f t="shared" si="7"/>
        <v>46045</v>
      </c>
    </row>
    <row r="249" spans="1:14" x14ac:dyDescent="0.3">
      <c r="A249" t="s">
        <v>262</v>
      </c>
      <c r="B249">
        <v>145</v>
      </c>
      <c r="C249">
        <v>25</v>
      </c>
      <c r="D249" s="1">
        <v>46028.474305555559</v>
      </c>
      <c r="E249">
        <v>799</v>
      </c>
      <c r="F249" t="s">
        <v>12</v>
      </c>
      <c r="G249" t="s">
        <v>10</v>
      </c>
      <c r="H249">
        <v>52</v>
      </c>
      <c r="I249" t="str">
        <f>IFERROR(VLOOKUP(C249, merchants!$A$2:$D$41, 2, FALSE), "Merchant not found")</f>
        <v>Merchant_025</v>
      </c>
      <c r="J249" t="str">
        <f>IFERROR(VLOOKUP(C249, merchants!$A$2:$D$41, 3, FALSE), "Merchant not found")</f>
        <v>travel</v>
      </c>
      <c r="K249" t="str">
        <f>IFERROR(VLOOKUP(C249, merchants!$A$2:$D$41, 4, FALSE), "Merchant not found")</f>
        <v>South</v>
      </c>
      <c r="L249" s="2">
        <f>HLOOKUP(F249, merchants!$F$1:$I$2, 2, FALSE)</f>
        <v>0</v>
      </c>
      <c r="M249" t="str">
        <f t="shared" si="6"/>
        <v>Regular</v>
      </c>
      <c r="N249" s="5">
        <f t="shared" si="7"/>
        <v>46028</v>
      </c>
    </row>
    <row r="250" spans="1:14" x14ac:dyDescent="0.3">
      <c r="A250" t="s">
        <v>263</v>
      </c>
      <c r="B250">
        <v>307</v>
      </c>
      <c r="C250">
        <v>4</v>
      </c>
      <c r="D250" s="1">
        <v>46047.446527777778</v>
      </c>
      <c r="E250">
        <v>1499</v>
      </c>
      <c r="F250" t="s">
        <v>12</v>
      </c>
      <c r="G250" t="s">
        <v>10</v>
      </c>
      <c r="H250">
        <v>80</v>
      </c>
      <c r="I250" t="str">
        <f>IFERROR(VLOOKUP(C250, merchants!$A$2:$D$41, 2, FALSE), "Merchant not found")</f>
        <v>Merchant_004</v>
      </c>
      <c r="J250" t="str">
        <f>IFERROR(VLOOKUP(C250, merchants!$A$2:$D$41, 3, FALSE), "Merchant not found")</f>
        <v>ecommerce</v>
      </c>
      <c r="K250" t="str">
        <f>IFERROR(VLOOKUP(C250, merchants!$A$2:$D$41, 4, FALSE), "Merchant not found")</f>
        <v>East</v>
      </c>
      <c r="L250" s="2">
        <f>HLOOKUP(F250, merchants!$F$1:$I$2, 2, FALSE)</f>
        <v>0</v>
      </c>
      <c r="M250" t="str">
        <f t="shared" si="6"/>
        <v>Regular</v>
      </c>
      <c r="N250" s="5">
        <f t="shared" si="7"/>
        <v>46047</v>
      </c>
    </row>
    <row r="251" spans="1:14" x14ac:dyDescent="0.3">
      <c r="A251" t="s">
        <v>264</v>
      </c>
      <c r="B251">
        <v>169</v>
      </c>
      <c r="C251">
        <v>7</v>
      </c>
      <c r="D251" s="1">
        <v>46043.419444444444</v>
      </c>
      <c r="E251">
        <v>1499</v>
      </c>
      <c r="F251" t="s">
        <v>9</v>
      </c>
      <c r="G251" t="s">
        <v>10</v>
      </c>
      <c r="H251">
        <v>71</v>
      </c>
      <c r="I251" t="str">
        <f>IFERROR(VLOOKUP(C251, merchants!$A$2:$D$41, 2, FALSE), "Merchant not found")</f>
        <v>Merchant_007</v>
      </c>
      <c r="J251" t="str">
        <f>IFERROR(VLOOKUP(C251, merchants!$A$2:$D$41, 3, FALSE), "Merchant not found")</f>
        <v>food_delivery</v>
      </c>
      <c r="K251" t="str">
        <f>IFERROR(VLOOKUP(C251, merchants!$A$2:$D$41, 4, FALSE), "Merchant not found")</f>
        <v>East</v>
      </c>
      <c r="L251" s="2">
        <f>HLOOKUP(F251, merchants!$F$1:$I$2, 2, FALSE)</f>
        <v>1.4999999999999999E-2</v>
      </c>
      <c r="M251" t="str">
        <f t="shared" si="6"/>
        <v>Regular</v>
      </c>
      <c r="N251" s="5">
        <f t="shared" si="7"/>
        <v>46043</v>
      </c>
    </row>
    <row r="252" spans="1:14" x14ac:dyDescent="0.3">
      <c r="A252" t="s">
        <v>265</v>
      </c>
      <c r="B252">
        <v>130</v>
      </c>
      <c r="C252">
        <v>39</v>
      </c>
      <c r="D252" s="1">
        <v>46044.512499999997</v>
      </c>
      <c r="E252">
        <v>2999</v>
      </c>
      <c r="F252" t="s">
        <v>9</v>
      </c>
      <c r="G252" t="s">
        <v>10</v>
      </c>
      <c r="H252">
        <v>19</v>
      </c>
      <c r="I252" t="str">
        <f>IFERROR(VLOOKUP(C252, merchants!$A$2:$D$41, 2, FALSE), "Merchant not found")</f>
        <v>Merchant_039</v>
      </c>
      <c r="J252" t="str">
        <f>IFERROR(VLOOKUP(C252, merchants!$A$2:$D$41, 3, FALSE), "Merchant not found")</f>
        <v>entertainment</v>
      </c>
      <c r="K252" t="str">
        <f>IFERROR(VLOOKUP(C252, merchants!$A$2:$D$41, 4, FALSE), "Merchant not found")</f>
        <v>North</v>
      </c>
      <c r="L252" s="2">
        <f>HLOOKUP(F252, merchants!$F$1:$I$2, 2, FALSE)</f>
        <v>1.4999999999999999E-2</v>
      </c>
      <c r="M252" t="str">
        <f t="shared" si="6"/>
        <v>High-Value Day</v>
      </c>
      <c r="N252" s="5">
        <f t="shared" si="7"/>
        <v>46044</v>
      </c>
    </row>
    <row r="253" spans="1:14" x14ac:dyDescent="0.3">
      <c r="A253" t="s">
        <v>266</v>
      </c>
      <c r="B253">
        <v>340</v>
      </c>
      <c r="C253">
        <v>10</v>
      </c>
      <c r="D253" s="1">
        <v>46033.109027777777</v>
      </c>
      <c r="E253">
        <v>49</v>
      </c>
      <c r="F253" t="s">
        <v>24</v>
      </c>
      <c r="G253" t="s">
        <v>10</v>
      </c>
      <c r="H253">
        <v>44</v>
      </c>
      <c r="I253" t="str">
        <f>IFERROR(VLOOKUP(C253, merchants!$A$2:$D$41, 2, FALSE), "Merchant not found")</f>
        <v>Merchant_010</v>
      </c>
      <c r="J253" t="str">
        <f>IFERROR(VLOOKUP(C253, merchants!$A$2:$D$41, 3, FALSE), "Merchant not found")</f>
        <v>grocery</v>
      </c>
      <c r="K253" t="str">
        <f>IFERROR(VLOOKUP(C253, merchants!$A$2:$D$41, 4, FALSE), "Merchant not found")</f>
        <v>West</v>
      </c>
      <c r="L253" s="2">
        <f>HLOOKUP(F253, merchants!$F$1:$I$2, 2, FALSE)</f>
        <v>0.02</v>
      </c>
      <c r="M253" t="str">
        <f t="shared" si="6"/>
        <v>Regular</v>
      </c>
      <c r="N253" s="5">
        <f t="shared" si="7"/>
        <v>46033</v>
      </c>
    </row>
    <row r="254" spans="1:14" x14ac:dyDescent="0.3">
      <c r="A254" t="s">
        <v>267</v>
      </c>
      <c r="B254">
        <v>340</v>
      </c>
      <c r="C254">
        <v>26</v>
      </c>
      <c r="D254" s="1">
        <v>46032.863888888889</v>
      </c>
      <c r="E254">
        <v>299</v>
      </c>
      <c r="F254" t="s">
        <v>24</v>
      </c>
      <c r="G254" t="s">
        <v>10</v>
      </c>
      <c r="H254">
        <v>16</v>
      </c>
      <c r="I254" t="str">
        <f>IFERROR(VLOOKUP(C254, merchants!$A$2:$D$41, 2, FALSE), "Merchant not found")</f>
        <v>Merchant_026</v>
      </c>
      <c r="J254" t="str">
        <f>IFERROR(VLOOKUP(C254, merchants!$A$2:$D$41, 3, FALSE), "Merchant not found")</f>
        <v>food_delivery</v>
      </c>
      <c r="K254" t="str">
        <f>IFERROR(VLOOKUP(C254, merchants!$A$2:$D$41, 4, FALSE), "Merchant not found")</f>
        <v>East</v>
      </c>
      <c r="L254" s="2">
        <f>HLOOKUP(F254, merchants!$F$1:$I$2, 2, FALSE)</f>
        <v>0.02</v>
      </c>
      <c r="M254" t="str">
        <f t="shared" si="6"/>
        <v>Regular</v>
      </c>
      <c r="N254" s="5">
        <f t="shared" si="7"/>
        <v>46032</v>
      </c>
    </row>
    <row r="255" spans="1:14" x14ac:dyDescent="0.3">
      <c r="A255" t="s">
        <v>268</v>
      </c>
      <c r="B255">
        <v>159</v>
      </c>
      <c r="C255">
        <v>36</v>
      </c>
      <c r="D255" s="1">
        <v>46042.920138888891</v>
      </c>
      <c r="E255">
        <v>49</v>
      </c>
      <c r="F255" t="s">
        <v>12</v>
      </c>
      <c r="G255" t="s">
        <v>10</v>
      </c>
      <c r="H255">
        <v>48</v>
      </c>
      <c r="I255" t="str">
        <f>IFERROR(VLOOKUP(C255, merchants!$A$2:$D$41, 2, FALSE), "Merchant not found")</f>
        <v>Merchant_036</v>
      </c>
      <c r="J255" t="str">
        <f>IFERROR(VLOOKUP(C255, merchants!$A$2:$D$41, 3, FALSE), "Merchant not found")</f>
        <v>entertainment</v>
      </c>
      <c r="K255" t="str">
        <f>IFERROR(VLOOKUP(C255, merchants!$A$2:$D$41, 4, FALSE), "Merchant not found")</f>
        <v>East</v>
      </c>
      <c r="L255" s="2">
        <f>HLOOKUP(F255, merchants!$F$1:$I$2, 2, FALSE)</f>
        <v>0</v>
      </c>
      <c r="M255" t="str">
        <f t="shared" si="6"/>
        <v>Regular</v>
      </c>
      <c r="N255" s="5">
        <f t="shared" si="7"/>
        <v>46042</v>
      </c>
    </row>
    <row r="256" spans="1:14" x14ac:dyDescent="0.3">
      <c r="A256" t="s">
        <v>269</v>
      </c>
      <c r="B256">
        <v>66</v>
      </c>
      <c r="C256">
        <v>34</v>
      </c>
      <c r="D256" s="1">
        <v>46043.452777777777</v>
      </c>
      <c r="E256">
        <v>799</v>
      </c>
      <c r="F256" t="s">
        <v>12</v>
      </c>
      <c r="G256" t="s">
        <v>10</v>
      </c>
      <c r="H256">
        <v>11</v>
      </c>
      <c r="I256" t="str">
        <f>IFERROR(VLOOKUP(C256, merchants!$A$2:$D$41, 2, FALSE), "Merchant not found")</f>
        <v>Merchant_034</v>
      </c>
      <c r="J256" t="str">
        <f>IFERROR(VLOOKUP(C256, merchants!$A$2:$D$41, 3, FALSE), "Merchant not found")</f>
        <v>travel</v>
      </c>
      <c r="K256" t="str">
        <f>IFERROR(VLOOKUP(C256, merchants!$A$2:$D$41, 4, FALSE), "Merchant not found")</f>
        <v>South</v>
      </c>
      <c r="L256" s="2">
        <f>HLOOKUP(F256, merchants!$F$1:$I$2, 2, FALSE)</f>
        <v>0</v>
      </c>
      <c r="M256" t="str">
        <f t="shared" si="6"/>
        <v>Regular</v>
      </c>
      <c r="N256" s="5">
        <f t="shared" si="7"/>
        <v>46043</v>
      </c>
    </row>
    <row r="257" spans="1:14" x14ac:dyDescent="0.3">
      <c r="A257" t="s">
        <v>270</v>
      </c>
      <c r="B257">
        <v>261</v>
      </c>
      <c r="C257">
        <v>24</v>
      </c>
      <c r="D257" s="1">
        <v>46043.893750000003</v>
      </c>
      <c r="E257">
        <v>799</v>
      </c>
      <c r="F257" t="s">
        <v>24</v>
      </c>
      <c r="G257" t="s">
        <v>10</v>
      </c>
      <c r="H257">
        <v>2</v>
      </c>
      <c r="I257" t="str">
        <f>IFERROR(VLOOKUP(C257, merchants!$A$2:$D$41, 2, FALSE), "Merchant not found")</f>
        <v>Merchant_024</v>
      </c>
      <c r="J257" t="str">
        <f>IFERROR(VLOOKUP(C257, merchants!$A$2:$D$41, 3, FALSE), "Merchant not found")</f>
        <v>grocery</v>
      </c>
      <c r="K257" t="str">
        <f>IFERROR(VLOOKUP(C257, merchants!$A$2:$D$41, 4, FALSE), "Merchant not found")</f>
        <v>North</v>
      </c>
      <c r="L257" s="2">
        <f>HLOOKUP(F257, merchants!$F$1:$I$2, 2, FALSE)</f>
        <v>0.02</v>
      </c>
      <c r="M257" t="str">
        <f t="shared" si="6"/>
        <v>Regular</v>
      </c>
      <c r="N257" s="5">
        <f t="shared" si="7"/>
        <v>46043</v>
      </c>
    </row>
    <row r="258" spans="1:14" x14ac:dyDescent="0.3">
      <c r="A258" t="s">
        <v>271</v>
      </c>
      <c r="B258">
        <v>110</v>
      </c>
      <c r="C258">
        <v>22</v>
      </c>
      <c r="D258" s="1">
        <v>46034.382638888892</v>
      </c>
      <c r="E258">
        <v>799</v>
      </c>
      <c r="F258" t="s">
        <v>12</v>
      </c>
      <c r="G258" t="s">
        <v>10</v>
      </c>
      <c r="H258">
        <v>98</v>
      </c>
      <c r="I258" t="str">
        <f>IFERROR(VLOOKUP(C258, merchants!$A$2:$D$41, 2, FALSE), "Merchant not found")</f>
        <v>Merchant_022</v>
      </c>
      <c r="J258" t="str">
        <f>IFERROR(VLOOKUP(C258, merchants!$A$2:$D$41, 3, FALSE), "Merchant not found")</f>
        <v>travel</v>
      </c>
      <c r="K258" t="str">
        <f>IFERROR(VLOOKUP(C258, merchants!$A$2:$D$41, 4, FALSE), "Merchant not found")</f>
        <v>South</v>
      </c>
      <c r="L258" s="2">
        <f>HLOOKUP(F258, merchants!$F$1:$I$2, 2, FALSE)</f>
        <v>0</v>
      </c>
      <c r="M258" t="str">
        <f t="shared" si="6"/>
        <v>Regular</v>
      </c>
      <c r="N258" s="5">
        <f t="shared" si="7"/>
        <v>46034</v>
      </c>
    </row>
    <row r="259" spans="1:14" x14ac:dyDescent="0.3">
      <c r="A259" t="s">
        <v>272</v>
      </c>
      <c r="B259">
        <v>71</v>
      </c>
      <c r="C259">
        <v>10</v>
      </c>
      <c r="D259" s="1">
        <v>46038.259722222225</v>
      </c>
      <c r="E259">
        <v>49</v>
      </c>
      <c r="F259" t="s">
        <v>12</v>
      </c>
      <c r="G259" t="s">
        <v>10</v>
      </c>
      <c r="H259">
        <v>9</v>
      </c>
      <c r="I259" t="str">
        <f>IFERROR(VLOOKUP(C259, merchants!$A$2:$D$41, 2, FALSE), "Merchant not found")</f>
        <v>Merchant_010</v>
      </c>
      <c r="J259" t="str">
        <f>IFERROR(VLOOKUP(C259, merchants!$A$2:$D$41, 3, FALSE), "Merchant not found")</f>
        <v>grocery</v>
      </c>
      <c r="K259" t="str">
        <f>IFERROR(VLOOKUP(C259, merchants!$A$2:$D$41, 4, FALSE), "Merchant not found")</f>
        <v>West</v>
      </c>
      <c r="L259" s="2">
        <f>HLOOKUP(F259, merchants!$F$1:$I$2, 2, FALSE)</f>
        <v>0</v>
      </c>
      <c r="M259" t="str">
        <f t="shared" ref="M259:M322" si="8">IF(AND(SUMIFS($E:$E, $C:$C, C259, $D:$D, "&gt;="&amp;INT(D259), $D:$D, "&lt;"&amp;INT(D259)+1) &gt; 5000, K259 &lt;&gt; "East"), "High-Value Day", "Regular")</f>
        <v>Regular</v>
      </c>
      <c r="N259" s="5">
        <f t="shared" ref="N259:N322" si="9">INT(D259)</f>
        <v>46038</v>
      </c>
    </row>
    <row r="260" spans="1:14" x14ac:dyDescent="0.3">
      <c r="A260" t="s">
        <v>273</v>
      </c>
      <c r="B260">
        <v>277</v>
      </c>
      <c r="C260">
        <v>34</v>
      </c>
      <c r="D260" s="1">
        <v>46032.147222222222</v>
      </c>
      <c r="E260">
        <v>49</v>
      </c>
      <c r="F260" t="s">
        <v>12</v>
      </c>
      <c r="G260" t="s">
        <v>10</v>
      </c>
      <c r="H260">
        <v>4</v>
      </c>
      <c r="I260" t="str">
        <f>IFERROR(VLOOKUP(C260, merchants!$A$2:$D$41, 2, FALSE), "Merchant not found")</f>
        <v>Merchant_034</v>
      </c>
      <c r="J260" t="str">
        <f>IFERROR(VLOOKUP(C260, merchants!$A$2:$D$41, 3, FALSE), "Merchant not found")</f>
        <v>travel</v>
      </c>
      <c r="K260" t="str">
        <f>IFERROR(VLOOKUP(C260, merchants!$A$2:$D$41, 4, FALSE), "Merchant not found")</f>
        <v>South</v>
      </c>
      <c r="L260" s="2">
        <f>HLOOKUP(F260, merchants!$F$1:$I$2, 2, FALSE)</f>
        <v>0</v>
      </c>
      <c r="M260" t="str">
        <f t="shared" si="8"/>
        <v>Regular</v>
      </c>
      <c r="N260" s="5">
        <f t="shared" si="9"/>
        <v>46032</v>
      </c>
    </row>
    <row r="261" spans="1:14" x14ac:dyDescent="0.3">
      <c r="A261" t="s">
        <v>274</v>
      </c>
      <c r="B261">
        <v>317</v>
      </c>
      <c r="C261">
        <v>9</v>
      </c>
      <c r="D261" s="1">
        <v>46044.455555555556</v>
      </c>
      <c r="E261">
        <v>499</v>
      </c>
      <c r="F261" t="s">
        <v>9</v>
      </c>
      <c r="G261" t="s">
        <v>10</v>
      </c>
      <c r="H261">
        <v>76</v>
      </c>
      <c r="I261" t="str">
        <f>IFERROR(VLOOKUP(C261, merchants!$A$2:$D$41, 2, FALSE), "Merchant not found")</f>
        <v>Merchant_009</v>
      </c>
      <c r="J261" t="str">
        <f>IFERROR(VLOOKUP(C261, merchants!$A$2:$D$41, 3, FALSE), "Merchant not found")</f>
        <v>ecommerce</v>
      </c>
      <c r="K261" t="str">
        <f>IFERROR(VLOOKUP(C261, merchants!$A$2:$D$41, 4, FALSE), "Merchant not found")</f>
        <v>North</v>
      </c>
      <c r="L261" s="2">
        <f>HLOOKUP(F261, merchants!$F$1:$I$2, 2, FALSE)</f>
        <v>1.4999999999999999E-2</v>
      </c>
      <c r="M261" t="str">
        <f t="shared" si="8"/>
        <v>Regular</v>
      </c>
      <c r="N261" s="5">
        <f t="shared" si="9"/>
        <v>46044</v>
      </c>
    </row>
    <row r="262" spans="1:14" x14ac:dyDescent="0.3">
      <c r="A262" t="s">
        <v>275</v>
      </c>
      <c r="B262">
        <v>93</v>
      </c>
      <c r="C262">
        <v>40</v>
      </c>
      <c r="D262" s="1">
        <v>46035.173611111109</v>
      </c>
      <c r="E262">
        <v>299</v>
      </c>
      <c r="F262" t="s">
        <v>12</v>
      </c>
      <c r="G262" t="s">
        <v>10</v>
      </c>
      <c r="H262">
        <v>21</v>
      </c>
      <c r="I262" t="str">
        <f>IFERROR(VLOOKUP(C262, merchants!$A$2:$D$41, 2, FALSE), "Merchant not found")</f>
        <v>Merchant_040</v>
      </c>
      <c r="J262" t="str">
        <f>IFERROR(VLOOKUP(C262, merchants!$A$2:$D$41, 3, FALSE), "Merchant not found")</f>
        <v>entertainment</v>
      </c>
      <c r="K262" t="str">
        <f>IFERROR(VLOOKUP(C262, merchants!$A$2:$D$41, 4, FALSE), "Merchant not found")</f>
        <v>South</v>
      </c>
      <c r="L262" s="2">
        <f>HLOOKUP(F262, merchants!$F$1:$I$2, 2, FALSE)</f>
        <v>0</v>
      </c>
      <c r="M262" t="str">
        <f t="shared" si="8"/>
        <v>Regular</v>
      </c>
      <c r="N262" s="5">
        <f t="shared" si="9"/>
        <v>46035</v>
      </c>
    </row>
    <row r="263" spans="1:14" x14ac:dyDescent="0.3">
      <c r="A263" t="s">
        <v>276</v>
      </c>
      <c r="B263">
        <v>211</v>
      </c>
      <c r="C263">
        <v>24</v>
      </c>
      <c r="D263" s="1">
        <v>46046.584722222222</v>
      </c>
      <c r="E263">
        <v>99</v>
      </c>
      <c r="F263" t="s">
        <v>15</v>
      </c>
      <c r="G263" t="s">
        <v>10</v>
      </c>
      <c r="H263">
        <v>86</v>
      </c>
      <c r="I263" t="str">
        <f>IFERROR(VLOOKUP(C263, merchants!$A$2:$D$41, 2, FALSE), "Merchant not found")</f>
        <v>Merchant_024</v>
      </c>
      <c r="J263" t="str">
        <f>IFERROR(VLOOKUP(C263, merchants!$A$2:$D$41, 3, FALSE), "Merchant not found")</f>
        <v>grocery</v>
      </c>
      <c r="K263" t="str">
        <f>IFERROR(VLOOKUP(C263, merchants!$A$2:$D$41, 4, FALSE), "Merchant not found")</f>
        <v>North</v>
      </c>
      <c r="L263" s="2">
        <f>HLOOKUP(F263, merchants!$F$1:$I$2, 2, FALSE)</f>
        <v>1.7999999999999999E-2</v>
      </c>
      <c r="M263" t="str">
        <f t="shared" si="8"/>
        <v>Regular</v>
      </c>
      <c r="N263" s="5">
        <f t="shared" si="9"/>
        <v>46046</v>
      </c>
    </row>
    <row r="264" spans="1:14" x14ac:dyDescent="0.3">
      <c r="A264" t="s">
        <v>277</v>
      </c>
      <c r="B264">
        <v>313</v>
      </c>
      <c r="C264">
        <v>19</v>
      </c>
      <c r="D264" s="1">
        <v>46046.311111111114</v>
      </c>
      <c r="E264">
        <v>149</v>
      </c>
      <c r="F264" t="s">
        <v>12</v>
      </c>
      <c r="G264" t="s">
        <v>10</v>
      </c>
      <c r="H264">
        <v>96</v>
      </c>
      <c r="I264" t="str">
        <f>IFERROR(VLOOKUP(C264, merchants!$A$2:$D$41, 2, FALSE), "Merchant not found")</f>
        <v>Merchant_019</v>
      </c>
      <c r="J264" t="str">
        <f>IFERROR(VLOOKUP(C264, merchants!$A$2:$D$41, 3, FALSE), "Merchant not found")</f>
        <v>grocery</v>
      </c>
      <c r="K264" t="str">
        <f>IFERROR(VLOOKUP(C264, merchants!$A$2:$D$41, 4, FALSE), "Merchant not found")</f>
        <v>North</v>
      </c>
      <c r="L264" s="2">
        <f>HLOOKUP(F264, merchants!$F$1:$I$2, 2, FALSE)</f>
        <v>0</v>
      </c>
      <c r="M264" t="str">
        <f t="shared" si="8"/>
        <v>Regular</v>
      </c>
      <c r="N264" s="5">
        <f t="shared" si="9"/>
        <v>46046</v>
      </c>
    </row>
    <row r="265" spans="1:14" x14ac:dyDescent="0.3">
      <c r="A265" t="s">
        <v>278</v>
      </c>
      <c r="B265">
        <v>274</v>
      </c>
      <c r="C265">
        <v>16</v>
      </c>
      <c r="D265" s="1">
        <v>46046.593055555553</v>
      </c>
      <c r="E265">
        <v>49</v>
      </c>
      <c r="F265" t="s">
        <v>9</v>
      </c>
      <c r="G265" t="s">
        <v>25</v>
      </c>
      <c r="H265">
        <v>39</v>
      </c>
      <c r="I265" t="str">
        <f>IFERROR(VLOOKUP(C265, merchants!$A$2:$D$41, 2, FALSE), "Merchant not found")</f>
        <v>Merchant_016</v>
      </c>
      <c r="J265" t="str">
        <f>IFERROR(VLOOKUP(C265, merchants!$A$2:$D$41, 3, FALSE), "Merchant not found")</f>
        <v>bill_payment</v>
      </c>
      <c r="K265" t="str">
        <f>IFERROR(VLOOKUP(C265, merchants!$A$2:$D$41, 4, FALSE), "Merchant not found")</f>
        <v>West</v>
      </c>
      <c r="L265" s="2">
        <f>HLOOKUP(F265, merchants!$F$1:$I$2, 2, FALSE)</f>
        <v>1.4999999999999999E-2</v>
      </c>
      <c r="M265" t="str">
        <f t="shared" si="8"/>
        <v>Regular</v>
      </c>
      <c r="N265" s="5">
        <f t="shared" si="9"/>
        <v>46046</v>
      </c>
    </row>
    <row r="266" spans="1:14" x14ac:dyDescent="0.3">
      <c r="A266" t="s">
        <v>279</v>
      </c>
      <c r="B266">
        <v>100</v>
      </c>
      <c r="C266">
        <v>24</v>
      </c>
      <c r="D266" s="1">
        <v>46048.664583333331</v>
      </c>
      <c r="E266">
        <v>299</v>
      </c>
      <c r="F266" t="s">
        <v>12</v>
      </c>
      <c r="G266" t="s">
        <v>10</v>
      </c>
      <c r="H266">
        <v>86</v>
      </c>
      <c r="I266" t="str">
        <f>IFERROR(VLOOKUP(C266, merchants!$A$2:$D$41, 2, FALSE), "Merchant not found")</f>
        <v>Merchant_024</v>
      </c>
      <c r="J266" t="str">
        <f>IFERROR(VLOOKUP(C266, merchants!$A$2:$D$41, 3, FALSE), "Merchant not found")</f>
        <v>grocery</v>
      </c>
      <c r="K266" t="str">
        <f>IFERROR(VLOOKUP(C266, merchants!$A$2:$D$41, 4, FALSE), "Merchant not found")</f>
        <v>North</v>
      </c>
      <c r="L266" s="2">
        <f>HLOOKUP(F266, merchants!$F$1:$I$2, 2, FALSE)</f>
        <v>0</v>
      </c>
      <c r="M266" t="str">
        <f t="shared" si="8"/>
        <v>Regular</v>
      </c>
      <c r="N266" s="5">
        <f t="shared" si="9"/>
        <v>46048</v>
      </c>
    </row>
    <row r="267" spans="1:14" x14ac:dyDescent="0.3">
      <c r="A267" t="s">
        <v>280</v>
      </c>
      <c r="B267">
        <v>145</v>
      </c>
      <c r="C267">
        <v>25</v>
      </c>
      <c r="D267" s="1">
        <v>46041.603472222225</v>
      </c>
      <c r="E267">
        <v>2999</v>
      </c>
      <c r="F267" t="s">
        <v>9</v>
      </c>
      <c r="G267" t="s">
        <v>10</v>
      </c>
      <c r="H267">
        <v>64</v>
      </c>
      <c r="I267" t="str">
        <f>IFERROR(VLOOKUP(C267, merchants!$A$2:$D$41, 2, FALSE), "Merchant not found")</f>
        <v>Merchant_025</v>
      </c>
      <c r="J267" t="str">
        <f>IFERROR(VLOOKUP(C267, merchants!$A$2:$D$41, 3, FALSE), "Merchant not found")</f>
        <v>travel</v>
      </c>
      <c r="K267" t="str">
        <f>IFERROR(VLOOKUP(C267, merchants!$A$2:$D$41, 4, FALSE), "Merchant not found")</f>
        <v>South</v>
      </c>
      <c r="L267" s="2">
        <f>HLOOKUP(F267, merchants!$F$1:$I$2, 2, FALSE)</f>
        <v>1.4999999999999999E-2</v>
      </c>
      <c r="M267" t="str">
        <f t="shared" si="8"/>
        <v>Regular</v>
      </c>
      <c r="N267" s="5">
        <f t="shared" si="9"/>
        <v>46041</v>
      </c>
    </row>
    <row r="268" spans="1:14" x14ac:dyDescent="0.3">
      <c r="A268" t="s">
        <v>281</v>
      </c>
      <c r="B268">
        <v>103</v>
      </c>
      <c r="C268">
        <v>39</v>
      </c>
      <c r="D268" s="1">
        <v>46039.548611111109</v>
      </c>
      <c r="E268">
        <v>2999</v>
      </c>
      <c r="F268" t="s">
        <v>9</v>
      </c>
      <c r="G268" t="s">
        <v>10</v>
      </c>
      <c r="H268">
        <v>17</v>
      </c>
      <c r="I268" t="str">
        <f>IFERROR(VLOOKUP(C268, merchants!$A$2:$D$41, 2, FALSE), "Merchant not found")</f>
        <v>Merchant_039</v>
      </c>
      <c r="J268" t="str">
        <f>IFERROR(VLOOKUP(C268, merchants!$A$2:$D$41, 3, FALSE), "Merchant not found")</f>
        <v>entertainment</v>
      </c>
      <c r="K268" t="str">
        <f>IFERROR(VLOOKUP(C268, merchants!$A$2:$D$41, 4, FALSE), "Merchant not found")</f>
        <v>North</v>
      </c>
      <c r="L268" s="2">
        <f>HLOOKUP(F268, merchants!$F$1:$I$2, 2, FALSE)</f>
        <v>1.4999999999999999E-2</v>
      </c>
      <c r="M268" t="str">
        <f t="shared" si="8"/>
        <v>Regular</v>
      </c>
      <c r="N268" s="5">
        <f t="shared" si="9"/>
        <v>46039</v>
      </c>
    </row>
    <row r="269" spans="1:14" x14ac:dyDescent="0.3">
      <c r="A269" t="s">
        <v>282</v>
      </c>
      <c r="B269">
        <v>329</v>
      </c>
      <c r="C269">
        <v>31</v>
      </c>
      <c r="D269" s="1">
        <v>46050.335416666669</v>
      </c>
      <c r="E269">
        <v>299</v>
      </c>
      <c r="F269" t="s">
        <v>9</v>
      </c>
      <c r="G269" t="s">
        <v>10</v>
      </c>
      <c r="H269">
        <v>47</v>
      </c>
      <c r="I269" t="str">
        <f>IFERROR(VLOOKUP(C269, merchants!$A$2:$D$41, 2, FALSE), "Merchant not found")</f>
        <v>Merchant_031</v>
      </c>
      <c r="J269" t="str">
        <f>IFERROR(VLOOKUP(C269, merchants!$A$2:$D$41, 3, FALSE), "Merchant not found")</f>
        <v>bill_payment</v>
      </c>
      <c r="K269" t="str">
        <f>IFERROR(VLOOKUP(C269, merchants!$A$2:$D$41, 4, FALSE), "Merchant not found")</f>
        <v>East</v>
      </c>
      <c r="L269" s="2">
        <f>HLOOKUP(F269, merchants!$F$1:$I$2, 2, FALSE)</f>
        <v>1.4999999999999999E-2</v>
      </c>
      <c r="M269" t="str">
        <f t="shared" si="8"/>
        <v>Regular</v>
      </c>
      <c r="N269" s="5">
        <f t="shared" si="9"/>
        <v>46050</v>
      </c>
    </row>
    <row r="270" spans="1:14" x14ac:dyDescent="0.3">
      <c r="A270" t="s">
        <v>283</v>
      </c>
      <c r="B270">
        <v>265</v>
      </c>
      <c r="C270">
        <v>8</v>
      </c>
      <c r="D270" s="1">
        <v>46040.15625</v>
      </c>
      <c r="E270">
        <v>499</v>
      </c>
      <c r="F270" t="s">
        <v>15</v>
      </c>
      <c r="G270" t="s">
        <v>10</v>
      </c>
      <c r="H270">
        <v>36</v>
      </c>
      <c r="I270" t="str">
        <f>IFERROR(VLOOKUP(C270, merchants!$A$2:$D$41, 2, FALSE), "Merchant not found")</f>
        <v>Merchant_008</v>
      </c>
      <c r="J270" t="str">
        <f>IFERROR(VLOOKUP(C270, merchants!$A$2:$D$41, 3, FALSE), "Merchant not found")</f>
        <v>food_delivery</v>
      </c>
      <c r="K270" t="str">
        <f>IFERROR(VLOOKUP(C270, merchants!$A$2:$D$41, 4, FALSE), "Merchant not found")</f>
        <v>North</v>
      </c>
      <c r="L270" s="2">
        <f>HLOOKUP(F270, merchants!$F$1:$I$2, 2, FALSE)</f>
        <v>1.7999999999999999E-2</v>
      </c>
      <c r="M270" t="str">
        <f t="shared" si="8"/>
        <v>Regular</v>
      </c>
      <c r="N270" s="5">
        <f t="shared" si="9"/>
        <v>46040</v>
      </c>
    </row>
    <row r="271" spans="1:14" x14ac:dyDescent="0.3">
      <c r="A271" t="s">
        <v>284</v>
      </c>
      <c r="B271">
        <v>231</v>
      </c>
      <c r="C271">
        <v>33</v>
      </c>
      <c r="D271" s="1">
        <v>46025.220138888886</v>
      </c>
      <c r="E271">
        <v>149</v>
      </c>
      <c r="F271" t="s">
        <v>12</v>
      </c>
      <c r="G271" t="s">
        <v>25</v>
      </c>
      <c r="H271">
        <v>18</v>
      </c>
      <c r="I271" t="str">
        <f>IFERROR(VLOOKUP(C271, merchants!$A$2:$D$41, 2, FALSE), "Merchant not found")</f>
        <v>Merchant_033</v>
      </c>
      <c r="J271" t="str">
        <f>IFERROR(VLOOKUP(C271, merchants!$A$2:$D$41, 3, FALSE), "Merchant not found")</f>
        <v>bill_payment</v>
      </c>
      <c r="K271" t="str">
        <f>IFERROR(VLOOKUP(C271, merchants!$A$2:$D$41, 4, FALSE), "Merchant not found")</f>
        <v>East</v>
      </c>
      <c r="L271" s="2">
        <f>HLOOKUP(F271, merchants!$F$1:$I$2, 2, FALSE)</f>
        <v>0</v>
      </c>
      <c r="M271" t="str">
        <f t="shared" si="8"/>
        <v>Regular</v>
      </c>
      <c r="N271" s="5">
        <f t="shared" si="9"/>
        <v>46025</v>
      </c>
    </row>
    <row r="272" spans="1:14" x14ac:dyDescent="0.3">
      <c r="A272" t="s">
        <v>285</v>
      </c>
      <c r="B272">
        <v>114</v>
      </c>
      <c r="C272">
        <v>29</v>
      </c>
      <c r="D272" s="1">
        <v>46049.545138888891</v>
      </c>
      <c r="E272">
        <v>799</v>
      </c>
      <c r="F272" t="s">
        <v>12</v>
      </c>
      <c r="G272" t="s">
        <v>38</v>
      </c>
      <c r="H272">
        <v>44</v>
      </c>
      <c r="I272" t="str">
        <f>IFERROR(VLOOKUP(C272, merchants!$A$2:$D$41, 2, FALSE), "Merchant not found")</f>
        <v>Merchant_029</v>
      </c>
      <c r="J272" t="str">
        <f>IFERROR(VLOOKUP(C272, merchants!$A$2:$D$41, 3, FALSE), "Merchant not found")</f>
        <v>ecommerce</v>
      </c>
      <c r="K272" t="str">
        <f>IFERROR(VLOOKUP(C272, merchants!$A$2:$D$41, 4, FALSE), "Merchant not found")</f>
        <v>North</v>
      </c>
      <c r="L272" s="2">
        <f>HLOOKUP(F272, merchants!$F$1:$I$2, 2, FALSE)</f>
        <v>0</v>
      </c>
      <c r="M272" t="str">
        <f t="shared" si="8"/>
        <v>Regular</v>
      </c>
      <c r="N272" s="5">
        <f t="shared" si="9"/>
        <v>46049</v>
      </c>
    </row>
    <row r="273" spans="1:14" x14ac:dyDescent="0.3">
      <c r="A273" t="s">
        <v>286</v>
      </c>
      <c r="B273">
        <v>28</v>
      </c>
      <c r="C273">
        <v>26</v>
      </c>
      <c r="D273" s="1">
        <v>46052.018055555556</v>
      </c>
      <c r="E273">
        <v>1499</v>
      </c>
      <c r="F273" t="s">
        <v>12</v>
      </c>
      <c r="G273" t="s">
        <v>25</v>
      </c>
      <c r="H273">
        <v>64</v>
      </c>
      <c r="I273" t="str">
        <f>IFERROR(VLOOKUP(C273, merchants!$A$2:$D$41, 2, FALSE), "Merchant not found")</f>
        <v>Merchant_026</v>
      </c>
      <c r="J273" t="str">
        <f>IFERROR(VLOOKUP(C273, merchants!$A$2:$D$41, 3, FALSE), "Merchant not found")</f>
        <v>food_delivery</v>
      </c>
      <c r="K273" t="str">
        <f>IFERROR(VLOOKUP(C273, merchants!$A$2:$D$41, 4, FALSE), "Merchant not found")</f>
        <v>East</v>
      </c>
      <c r="L273" s="2">
        <f>HLOOKUP(F273, merchants!$F$1:$I$2, 2, FALSE)</f>
        <v>0</v>
      </c>
      <c r="M273" t="str">
        <f t="shared" si="8"/>
        <v>Regular</v>
      </c>
      <c r="N273" s="5">
        <f t="shared" si="9"/>
        <v>46052</v>
      </c>
    </row>
    <row r="274" spans="1:14" x14ac:dyDescent="0.3">
      <c r="A274" t="s">
        <v>287</v>
      </c>
      <c r="B274">
        <v>42</v>
      </c>
      <c r="C274">
        <v>24</v>
      </c>
      <c r="D274" s="1">
        <v>46034.308333333334</v>
      </c>
      <c r="E274">
        <v>149</v>
      </c>
      <c r="F274" t="s">
        <v>12</v>
      </c>
      <c r="G274" t="s">
        <v>10</v>
      </c>
      <c r="H274">
        <v>28</v>
      </c>
      <c r="I274" t="str">
        <f>IFERROR(VLOOKUP(C274, merchants!$A$2:$D$41, 2, FALSE), "Merchant not found")</f>
        <v>Merchant_024</v>
      </c>
      <c r="J274" t="str">
        <f>IFERROR(VLOOKUP(C274, merchants!$A$2:$D$41, 3, FALSE), "Merchant not found")</f>
        <v>grocery</v>
      </c>
      <c r="K274" t="str">
        <f>IFERROR(VLOOKUP(C274, merchants!$A$2:$D$41, 4, FALSE), "Merchant not found")</f>
        <v>North</v>
      </c>
      <c r="L274" s="2">
        <f>HLOOKUP(F274, merchants!$F$1:$I$2, 2, FALSE)</f>
        <v>0</v>
      </c>
      <c r="M274" t="str">
        <f t="shared" si="8"/>
        <v>Regular</v>
      </c>
      <c r="N274" s="5">
        <f t="shared" si="9"/>
        <v>46034</v>
      </c>
    </row>
    <row r="275" spans="1:14" x14ac:dyDescent="0.3">
      <c r="A275" t="s">
        <v>288</v>
      </c>
      <c r="B275">
        <v>51</v>
      </c>
      <c r="C275">
        <v>22</v>
      </c>
      <c r="D275" s="1">
        <v>46023.457638888889</v>
      </c>
      <c r="E275">
        <v>799</v>
      </c>
      <c r="F275" t="s">
        <v>12</v>
      </c>
      <c r="G275" t="s">
        <v>10</v>
      </c>
      <c r="H275">
        <v>18</v>
      </c>
      <c r="I275" t="str">
        <f>IFERROR(VLOOKUP(C275, merchants!$A$2:$D$41, 2, FALSE), "Merchant not found")</f>
        <v>Merchant_022</v>
      </c>
      <c r="J275" t="str">
        <f>IFERROR(VLOOKUP(C275, merchants!$A$2:$D$41, 3, FALSE), "Merchant not found")</f>
        <v>travel</v>
      </c>
      <c r="K275" t="str">
        <f>IFERROR(VLOOKUP(C275, merchants!$A$2:$D$41, 4, FALSE), "Merchant not found")</f>
        <v>South</v>
      </c>
      <c r="L275" s="2">
        <f>HLOOKUP(F275, merchants!$F$1:$I$2, 2, FALSE)</f>
        <v>0</v>
      </c>
      <c r="M275" t="str">
        <f t="shared" si="8"/>
        <v>Regular</v>
      </c>
      <c r="N275" s="5">
        <f t="shared" si="9"/>
        <v>46023</v>
      </c>
    </row>
    <row r="276" spans="1:14" x14ac:dyDescent="0.3">
      <c r="A276" t="s">
        <v>289</v>
      </c>
      <c r="B276">
        <v>242</v>
      </c>
      <c r="C276">
        <v>9</v>
      </c>
      <c r="D276" s="1">
        <v>46027.054166666669</v>
      </c>
      <c r="E276">
        <v>149</v>
      </c>
      <c r="F276" t="s">
        <v>12</v>
      </c>
      <c r="G276" t="s">
        <v>10</v>
      </c>
      <c r="H276">
        <v>97</v>
      </c>
      <c r="I276" t="str">
        <f>IFERROR(VLOOKUP(C276, merchants!$A$2:$D$41, 2, FALSE), "Merchant not found")</f>
        <v>Merchant_009</v>
      </c>
      <c r="J276" t="str">
        <f>IFERROR(VLOOKUP(C276, merchants!$A$2:$D$41, 3, FALSE), "Merchant not found")</f>
        <v>ecommerce</v>
      </c>
      <c r="K276" t="str">
        <f>IFERROR(VLOOKUP(C276, merchants!$A$2:$D$41, 4, FALSE), "Merchant not found")</f>
        <v>North</v>
      </c>
      <c r="L276" s="2">
        <f>HLOOKUP(F276, merchants!$F$1:$I$2, 2, FALSE)</f>
        <v>0</v>
      </c>
      <c r="M276" t="str">
        <f t="shared" si="8"/>
        <v>Regular</v>
      </c>
      <c r="N276" s="5">
        <f t="shared" si="9"/>
        <v>46027</v>
      </c>
    </row>
    <row r="277" spans="1:14" x14ac:dyDescent="0.3">
      <c r="A277" t="s">
        <v>290</v>
      </c>
      <c r="B277">
        <v>316</v>
      </c>
      <c r="C277">
        <v>1</v>
      </c>
      <c r="D277" s="1">
        <v>46045.644444444442</v>
      </c>
      <c r="E277">
        <v>149</v>
      </c>
      <c r="F277" t="s">
        <v>12</v>
      </c>
      <c r="G277" t="s">
        <v>10</v>
      </c>
      <c r="H277">
        <v>10</v>
      </c>
      <c r="I277" t="str">
        <f>IFERROR(VLOOKUP(C277, merchants!$A$2:$D$41, 2, FALSE), "Merchant not found")</f>
        <v>Merchant_001</v>
      </c>
      <c r="J277" t="str">
        <f>IFERROR(VLOOKUP(C277, merchants!$A$2:$D$41, 3, FALSE), "Merchant not found")</f>
        <v>ecommerce</v>
      </c>
      <c r="K277" t="str">
        <f>IFERROR(VLOOKUP(C277, merchants!$A$2:$D$41, 4, FALSE), "Merchant not found")</f>
        <v>South</v>
      </c>
      <c r="L277" s="2">
        <f>HLOOKUP(F277, merchants!$F$1:$I$2, 2, FALSE)</f>
        <v>0</v>
      </c>
      <c r="M277" t="str">
        <f t="shared" si="8"/>
        <v>Regular</v>
      </c>
      <c r="N277" s="5">
        <f t="shared" si="9"/>
        <v>46045</v>
      </c>
    </row>
    <row r="278" spans="1:14" x14ac:dyDescent="0.3">
      <c r="A278" t="s">
        <v>291</v>
      </c>
      <c r="B278">
        <v>77</v>
      </c>
      <c r="C278">
        <v>36</v>
      </c>
      <c r="D278" s="1">
        <v>46023.342361111114</v>
      </c>
      <c r="E278">
        <v>149</v>
      </c>
      <c r="F278" t="s">
        <v>12</v>
      </c>
      <c r="G278" t="s">
        <v>10</v>
      </c>
      <c r="H278">
        <v>93</v>
      </c>
      <c r="I278" t="str">
        <f>IFERROR(VLOOKUP(C278, merchants!$A$2:$D$41, 2, FALSE), "Merchant not found")</f>
        <v>Merchant_036</v>
      </c>
      <c r="J278" t="str">
        <f>IFERROR(VLOOKUP(C278, merchants!$A$2:$D$41, 3, FALSE), "Merchant not found")</f>
        <v>entertainment</v>
      </c>
      <c r="K278" t="str">
        <f>IFERROR(VLOOKUP(C278, merchants!$A$2:$D$41, 4, FALSE), "Merchant not found")</f>
        <v>East</v>
      </c>
      <c r="L278" s="2">
        <f>HLOOKUP(F278, merchants!$F$1:$I$2, 2, FALSE)</f>
        <v>0</v>
      </c>
      <c r="M278" t="str">
        <f t="shared" si="8"/>
        <v>Regular</v>
      </c>
      <c r="N278" s="5">
        <f t="shared" si="9"/>
        <v>46023</v>
      </c>
    </row>
    <row r="279" spans="1:14" x14ac:dyDescent="0.3">
      <c r="A279" t="s">
        <v>292</v>
      </c>
      <c r="B279">
        <v>57</v>
      </c>
      <c r="C279">
        <v>19</v>
      </c>
      <c r="D279" s="1">
        <v>46042.685416666667</v>
      </c>
      <c r="E279">
        <v>49</v>
      </c>
      <c r="F279" t="s">
        <v>12</v>
      </c>
      <c r="G279" t="s">
        <v>10</v>
      </c>
      <c r="H279">
        <v>30</v>
      </c>
      <c r="I279" t="str">
        <f>IFERROR(VLOOKUP(C279, merchants!$A$2:$D$41, 2, FALSE), "Merchant not found")</f>
        <v>Merchant_019</v>
      </c>
      <c r="J279" t="str">
        <f>IFERROR(VLOOKUP(C279, merchants!$A$2:$D$41, 3, FALSE), "Merchant not found")</f>
        <v>grocery</v>
      </c>
      <c r="K279" t="str">
        <f>IFERROR(VLOOKUP(C279, merchants!$A$2:$D$41, 4, FALSE), "Merchant not found")</f>
        <v>North</v>
      </c>
      <c r="L279" s="2">
        <f>HLOOKUP(F279, merchants!$F$1:$I$2, 2, FALSE)</f>
        <v>0</v>
      </c>
      <c r="M279" t="str">
        <f t="shared" si="8"/>
        <v>Regular</v>
      </c>
      <c r="N279" s="5">
        <f t="shared" si="9"/>
        <v>46042</v>
      </c>
    </row>
    <row r="280" spans="1:14" x14ac:dyDescent="0.3">
      <c r="A280" t="s">
        <v>293</v>
      </c>
      <c r="B280">
        <v>123</v>
      </c>
      <c r="C280">
        <v>27</v>
      </c>
      <c r="D280" s="1">
        <v>46032.127083333333</v>
      </c>
      <c r="E280">
        <v>149</v>
      </c>
      <c r="F280" t="s">
        <v>15</v>
      </c>
      <c r="G280" t="s">
        <v>10</v>
      </c>
      <c r="H280">
        <v>81</v>
      </c>
      <c r="I280" t="str">
        <f>IFERROR(VLOOKUP(C280, merchants!$A$2:$D$41, 2, FALSE), "Merchant not found")</f>
        <v>Merchant_027</v>
      </c>
      <c r="J280" t="str">
        <f>IFERROR(VLOOKUP(C280, merchants!$A$2:$D$41, 3, FALSE), "Merchant not found")</f>
        <v>ecommerce</v>
      </c>
      <c r="K280" t="str">
        <f>IFERROR(VLOOKUP(C280, merchants!$A$2:$D$41, 4, FALSE), "Merchant not found")</f>
        <v>North</v>
      </c>
      <c r="L280" s="2">
        <f>HLOOKUP(F280, merchants!$F$1:$I$2, 2, FALSE)</f>
        <v>1.7999999999999999E-2</v>
      </c>
      <c r="M280" t="str">
        <f t="shared" si="8"/>
        <v>Regular</v>
      </c>
      <c r="N280" s="5">
        <f t="shared" si="9"/>
        <v>46032</v>
      </c>
    </row>
    <row r="281" spans="1:14" x14ac:dyDescent="0.3">
      <c r="A281" t="s">
        <v>294</v>
      </c>
      <c r="B281">
        <v>33</v>
      </c>
      <c r="C281">
        <v>8</v>
      </c>
      <c r="D281" s="1">
        <v>46048.811805555553</v>
      </c>
      <c r="E281">
        <v>299</v>
      </c>
      <c r="F281" t="s">
        <v>9</v>
      </c>
      <c r="G281" t="s">
        <v>10</v>
      </c>
      <c r="H281">
        <v>63</v>
      </c>
      <c r="I281" t="str">
        <f>IFERROR(VLOOKUP(C281, merchants!$A$2:$D$41, 2, FALSE), "Merchant not found")</f>
        <v>Merchant_008</v>
      </c>
      <c r="J281" t="str">
        <f>IFERROR(VLOOKUP(C281, merchants!$A$2:$D$41, 3, FALSE), "Merchant not found")</f>
        <v>food_delivery</v>
      </c>
      <c r="K281" t="str">
        <f>IFERROR(VLOOKUP(C281, merchants!$A$2:$D$41, 4, FALSE), "Merchant not found")</f>
        <v>North</v>
      </c>
      <c r="L281" s="2">
        <f>HLOOKUP(F281, merchants!$F$1:$I$2, 2, FALSE)</f>
        <v>1.4999999999999999E-2</v>
      </c>
      <c r="M281" t="str">
        <f t="shared" si="8"/>
        <v>Regular</v>
      </c>
      <c r="N281" s="5">
        <f t="shared" si="9"/>
        <v>46048</v>
      </c>
    </row>
    <row r="282" spans="1:14" x14ac:dyDescent="0.3">
      <c r="A282" t="s">
        <v>295</v>
      </c>
      <c r="B282">
        <v>324</v>
      </c>
      <c r="C282">
        <v>33</v>
      </c>
      <c r="D282" s="1">
        <v>46042.709027777775</v>
      </c>
      <c r="E282">
        <v>499</v>
      </c>
      <c r="F282" t="s">
        <v>12</v>
      </c>
      <c r="G282" t="s">
        <v>10</v>
      </c>
      <c r="H282">
        <v>73</v>
      </c>
      <c r="I282" t="str">
        <f>IFERROR(VLOOKUP(C282, merchants!$A$2:$D$41, 2, FALSE), "Merchant not found")</f>
        <v>Merchant_033</v>
      </c>
      <c r="J282" t="str">
        <f>IFERROR(VLOOKUP(C282, merchants!$A$2:$D$41, 3, FALSE), "Merchant not found")</f>
        <v>bill_payment</v>
      </c>
      <c r="K282" t="str">
        <f>IFERROR(VLOOKUP(C282, merchants!$A$2:$D$41, 4, FALSE), "Merchant not found")</f>
        <v>East</v>
      </c>
      <c r="L282" s="2">
        <f>HLOOKUP(F282, merchants!$F$1:$I$2, 2, FALSE)</f>
        <v>0</v>
      </c>
      <c r="M282" t="str">
        <f t="shared" si="8"/>
        <v>Regular</v>
      </c>
      <c r="N282" s="5">
        <f t="shared" si="9"/>
        <v>46042</v>
      </c>
    </row>
    <row r="283" spans="1:14" x14ac:dyDescent="0.3">
      <c r="A283" t="s">
        <v>296</v>
      </c>
      <c r="B283">
        <v>150</v>
      </c>
      <c r="C283">
        <v>28</v>
      </c>
      <c r="D283" s="1">
        <v>46030.92291666667</v>
      </c>
      <c r="E283">
        <v>49</v>
      </c>
      <c r="F283" t="s">
        <v>12</v>
      </c>
      <c r="G283" t="s">
        <v>25</v>
      </c>
      <c r="H283">
        <v>0</v>
      </c>
      <c r="I283" t="str">
        <f>IFERROR(VLOOKUP(C283, merchants!$A$2:$D$41, 2, FALSE), "Merchant not found")</f>
        <v>Merchant_028</v>
      </c>
      <c r="J283" t="str">
        <f>IFERROR(VLOOKUP(C283, merchants!$A$2:$D$41, 3, FALSE), "Merchant not found")</f>
        <v>ecommerce</v>
      </c>
      <c r="K283" t="str">
        <f>IFERROR(VLOOKUP(C283, merchants!$A$2:$D$41, 4, FALSE), "Merchant not found")</f>
        <v>South</v>
      </c>
      <c r="L283" s="2">
        <f>HLOOKUP(F283, merchants!$F$1:$I$2, 2, FALSE)</f>
        <v>0</v>
      </c>
      <c r="M283" t="str">
        <f t="shared" si="8"/>
        <v>Regular</v>
      </c>
      <c r="N283" s="5">
        <f t="shared" si="9"/>
        <v>46030</v>
      </c>
    </row>
    <row r="284" spans="1:14" x14ac:dyDescent="0.3">
      <c r="A284" t="s">
        <v>297</v>
      </c>
      <c r="B284">
        <v>293</v>
      </c>
      <c r="C284">
        <v>27</v>
      </c>
      <c r="D284" s="1">
        <v>46042.46875</v>
      </c>
      <c r="E284">
        <v>4999</v>
      </c>
      <c r="F284" t="s">
        <v>12</v>
      </c>
      <c r="G284" t="s">
        <v>10</v>
      </c>
      <c r="H284">
        <v>23</v>
      </c>
      <c r="I284" t="str">
        <f>IFERROR(VLOOKUP(C284, merchants!$A$2:$D$41, 2, FALSE), "Merchant not found")</f>
        <v>Merchant_027</v>
      </c>
      <c r="J284" t="str">
        <f>IFERROR(VLOOKUP(C284, merchants!$A$2:$D$41, 3, FALSE), "Merchant not found")</f>
        <v>ecommerce</v>
      </c>
      <c r="K284" t="str">
        <f>IFERROR(VLOOKUP(C284, merchants!$A$2:$D$41, 4, FALSE), "Merchant not found")</f>
        <v>North</v>
      </c>
      <c r="L284" s="2">
        <f>HLOOKUP(F284, merchants!$F$1:$I$2, 2, FALSE)</f>
        <v>0</v>
      </c>
      <c r="M284" t="str">
        <f t="shared" si="8"/>
        <v>Regular</v>
      </c>
      <c r="N284" s="5">
        <f t="shared" si="9"/>
        <v>46042</v>
      </c>
    </row>
    <row r="285" spans="1:14" x14ac:dyDescent="0.3">
      <c r="A285" t="s">
        <v>298</v>
      </c>
      <c r="B285">
        <v>269</v>
      </c>
      <c r="C285">
        <v>24</v>
      </c>
      <c r="D285" s="1">
        <v>46044.878472222219</v>
      </c>
      <c r="E285">
        <v>49</v>
      </c>
      <c r="F285" t="s">
        <v>9</v>
      </c>
      <c r="G285" t="s">
        <v>10</v>
      </c>
      <c r="H285">
        <v>8</v>
      </c>
      <c r="I285" t="str">
        <f>IFERROR(VLOOKUP(C285, merchants!$A$2:$D$41, 2, FALSE), "Merchant not found")</f>
        <v>Merchant_024</v>
      </c>
      <c r="J285" t="str">
        <f>IFERROR(VLOOKUP(C285, merchants!$A$2:$D$41, 3, FALSE), "Merchant not found")</f>
        <v>grocery</v>
      </c>
      <c r="K285" t="str">
        <f>IFERROR(VLOOKUP(C285, merchants!$A$2:$D$41, 4, FALSE), "Merchant not found")</f>
        <v>North</v>
      </c>
      <c r="L285" s="2">
        <f>HLOOKUP(F285, merchants!$F$1:$I$2, 2, FALSE)</f>
        <v>1.4999999999999999E-2</v>
      </c>
      <c r="M285" t="str">
        <f t="shared" si="8"/>
        <v>Regular</v>
      </c>
      <c r="N285" s="5">
        <f t="shared" si="9"/>
        <v>46044</v>
      </c>
    </row>
    <row r="286" spans="1:14" x14ac:dyDescent="0.3">
      <c r="A286" t="s">
        <v>299</v>
      </c>
      <c r="B286">
        <v>260</v>
      </c>
      <c r="C286">
        <v>36</v>
      </c>
      <c r="D286" s="1">
        <v>46039.730555555558</v>
      </c>
      <c r="E286">
        <v>1499</v>
      </c>
      <c r="F286" t="s">
        <v>12</v>
      </c>
      <c r="G286" t="s">
        <v>10</v>
      </c>
      <c r="H286">
        <v>2</v>
      </c>
      <c r="I286" t="str">
        <f>IFERROR(VLOOKUP(C286, merchants!$A$2:$D$41, 2, FALSE), "Merchant not found")</f>
        <v>Merchant_036</v>
      </c>
      <c r="J286" t="str">
        <f>IFERROR(VLOOKUP(C286, merchants!$A$2:$D$41, 3, FALSE), "Merchant not found")</f>
        <v>entertainment</v>
      </c>
      <c r="K286" t="str">
        <f>IFERROR(VLOOKUP(C286, merchants!$A$2:$D$41, 4, FALSE), "Merchant not found")</f>
        <v>East</v>
      </c>
      <c r="L286" s="2">
        <f>HLOOKUP(F286, merchants!$F$1:$I$2, 2, FALSE)</f>
        <v>0</v>
      </c>
      <c r="M286" t="str">
        <f t="shared" si="8"/>
        <v>Regular</v>
      </c>
      <c r="N286" s="5">
        <f t="shared" si="9"/>
        <v>46039</v>
      </c>
    </row>
    <row r="287" spans="1:14" x14ac:dyDescent="0.3">
      <c r="A287" t="s">
        <v>300</v>
      </c>
      <c r="B287">
        <v>326</v>
      </c>
      <c r="C287">
        <v>25</v>
      </c>
      <c r="D287" s="1">
        <v>46035.626388888886</v>
      </c>
      <c r="E287">
        <v>49</v>
      </c>
      <c r="F287" t="s">
        <v>12</v>
      </c>
      <c r="G287" t="s">
        <v>10</v>
      </c>
      <c r="H287">
        <v>47</v>
      </c>
      <c r="I287" t="str">
        <f>IFERROR(VLOOKUP(C287, merchants!$A$2:$D$41, 2, FALSE), "Merchant not found")</f>
        <v>Merchant_025</v>
      </c>
      <c r="J287" t="str">
        <f>IFERROR(VLOOKUP(C287, merchants!$A$2:$D$41, 3, FALSE), "Merchant not found")</f>
        <v>travel</v>
      </c>
      <c r="K287" t="str">
        <f>IFERROR(VLOOKUP(C287, merchants!$A$2:$D$41, 4, FALSE), "Merchant not found")</f>
        <v>South</v>
      </c>
      <c r="L287" s="2">
        <f>HLOOKUP(F287, merchants!$F$1:$I$2, 2, FALSE)</f>
        <v>0</v>
      </c>
      <c r="M287" t="str">
        <f t="shared" si="8"/>
        <v>Regular</v>
      </c>
      <c r="N287" s="5">
        <f t="shared" si="9"/>
        <v>46035</v>
      </c>
    </row>
    <row r="288" spans="1:14" x14ac:dyDescent="0.3">
      <c r="A288" t="s">
        <v>301</v>
      </c>
      <c r="B288">
        <v>183</v>
      </c>
      <c r="C288">
        <v>5</v>
      </c>
      <c r="D288" s="1">
        <v>46031.959027777775</v>
      </c>
      <c r="E288">
        <v>49</v>
      </c>
      <c r="F288" t="s">
        <v>24</v>
      </c>
      <c r="G288" t="s">
        <v>10</v>
      </c>
      <c r="H288">
        <v>44</v>
      </c>
      <c r="I288" t="str">
        <f>IFERROR(VLOOKUP(C288, merchants!$A$2:$D$41, 2, FALSE), "Merchant not found")</f>
        <v>Merchant_005</v>
      </c>
      <c r="J288" t="str">
        <f>IFERROR(VLOOKUP(C288, merchants!$A$2:$D$41, 3, FALSE), "Merchant not found")</f>
        <v>recharge</v>
      </c>
      <c r="K288" t="str">
        <f>IFERROR(VLOOKUP(C288, merchants!$A$2:$D$41, 4, FALSE), "Merchant not found")</f>
        <v>South</v>
      </c>
      <c r="L288" s="2">
        <f>HLOOKUP(F288, merchants!$F$1:$I$2, 2, FALSE)</f>
        <v>0.02</v>
      </c>
      <c r="M288" t="str">
        <f t="shared" si="8"/>
        <v>Regular</v>
      </c>
      <c r="N288" s="5">
        <f t="shared" si="9"/>
        <v>46031</v>
      </c>
    </row>
    <row r="289" spans="1:14" x14ac:dyDescent="0.3">
      <c r="A289" t="s">
        <v>302</v>
      </c>
      <c r="B289">
        <v>322</v>
      </c>
      <c r="C289">
        <v>7</v>
      </c>
      <c r="D289" s="1">
        <v>46030.987500000003</v>
      </c>
      <c r="E289">
        <v>299</v>
      </c>
      <c r="F289" t="s">
        <v>12</v>
      </c>
      <c r="G289" t="s">
        <v>10</v>
      </c>
      <c r="H289">
        <v>98</v>
      </c>
      <c r="I289" t="str">
        <f>IFERROR(VLOOKUP(C289, merchants!$A$2:$D$41, 2, FALSE), "Merchant not found")</f>
        <v>Merchant_007</v>
      </c>
      <c r="J289" t="str">
        <f>IFERROR(VLOOKUP(C289, merchants!$A$2:$D$41, 3, FALSE), "Merchant not found")</f>
        <v>food_delivery</v>
      </c>
      <c r="K289" t="str">
        <f>IFERROR(VLOOKUP(C289, merchants!$A$2:$D$41, 4, FALSE), "Merchant not found")</f>
        <v>East</v>
      </c>
      <c r="L289" s="2">
        <f>HLOOKUP(F289, merchants!$F$1:$I$2, 2, FALSE)</f>
        <v>0</v>
      </c>
      <c r="M289" t="str">
        <f t="shared" si="8"/>
        <v>Regular</v>
      </c>
      <c r="N289" s="5">
        <f t="shared" si="9"/>
        <v>46030</v>
      </c>
    </row>
    <row r="290" spans="1:14" x14ac:dyDescent="0.3">
      <c r="A290" t="s">
        <v>303</v>
      </c>
      <c r="B290">
        <v>171</v>
      </c>
      <c r="C290">
        <v>9</v>
      </c>
      <c r="D290" s="1">
        <v>46041.991666666669</v>
      </c>
      <c r="E290">
        <v>299</v>
      </c>
      <c r="F290" t="s">
        <v>12</v>
      </c>
      <c r="G290" t="s">
        <v>10</v>
      </c>
      <c r="H290">
        <v>5</v>
      </c>
      <c r="I290" t="str">
        <f>IFERROR(VLOOKUP(C290, merchants!$A$2:$D$41, 2, FALSE), "Merchant not found")</f>
        <v>Merchant_009</v>
      </c>
      <c r="J290" t="str">
        <f>IFERROR(VLOOKUP(C290, merchants!$A$2:$D$41, 3, FALSE), "Merchant not found")</f>
        <v>ecommerce</v>
      </c>
      <c r="K290" t="str">
        <f>IFERROR(VLOOKUP(C290, merchants!$A$2:$D$41, 4, FALSE), "Merchant not found")</f>
        <v>North</v>
      </c>
      <c r="L290" s="2">
        <f>HLOOKUP(F290, merchants!$F$1:$I$2, 2, FALSE)</f>
        <v>0</v>
      </c>
      <c r="M290" t="str">
        <f t="shared" si="8"/>
        <v>Regular</v>
      </c>
      <c r="N290" s="5">
        <f t="shared" si="9"/>
        <v>46041</v>
      </c>
    </row>
    <row r="291" spans="1:14" x14ac:dyDescent="0.3">
      <c r="A291" t="s">
        <v>304</v>
      </c>
      <c r="B291">
        <v>330</v>
      </c>
      <c r="C291">
        <v>12</v>
      </c>
      <c r="D291" s="1">
        <v>46034.722916666666</v>
      </c>
      <c r="E291">
        <v>1499</v>
      </c>
      <c r="F291" t="s">
        <v>15</v>
      </c>
      <c r="G291" t="s">
        <v>10</v>
      </c>
      <c r="H291">
        <v>99</v>
      </c>
      <c r="I291" t="str">
        <f>IFERROR(VLOOKUP(C291, merchants!$A$2:$D$41, 2, FALSE), "Merchant not found")</f>
        <v>Merchant_012</v>
      </c>
      <c r="J291" t="str">
        <f>IFERROR(VLOOKUP(C291, merchants!$A$2:$D$41, 3, FALSE), "Merchant not found")</f>
        <v>ecommerce</v>
      </c>
      <c r="K291" t="str">
        <f>IFERROR(VLOOKUP(C291, merchants!$A$2:$D$41, 4, FALSE), "Merchant not found")</f>
        <v>East</v>
      </c>
      <c r="L291" s="2">
        <f>HLOOKUP(F291, merchants!$F$1:$I$2, 2, FALSE)</f>
        <v>1.7999999999999999E-2</v>
      </c>
      <c r="M291" t="str">
        <f t="shared" si="8"/>
        <v>Regular</v>
      </c>
      <c r="N291" s="5">
        <f t="shared" si="9"/>
        <v>46034</v>
      </c>
    </row>
    <row r="292" spans="1:14" x14ac:dyDescent="0.3">
      <c r="A292" t="s">
        <v>305</v>
      </c>
      <c r="B292">
        <v>246</v>
      </c>
      <c r="C292">
        <v>12</v>
      </c>
      <c r="D292" s="1">
        <v>46044.613888888889</v>
      </c>
      <c r="E292">
        <v>99</v>
      </c>
      <c r="F292" t="s">
        <v>9</v>
      </c>
      <c r="G292" t="s">
        <v>10</v>
      </c>
      <c r="H292">
        <v>17</v>
      </c>
      <c r="I292" t="str">
        <f>IFERROR(VLOOKUP(C292, merchants!$A$2:$D$41, 2, FALSE), "Merchant not found")</f>
        <v>Merchant_012</v>
      </c>
      <c r="J292" t="str">
        <f>IFERROR(VLOOKUP(C292, merchants!$A$2:$D$41, 3, FALSE), "Merchant not found")</f>
        <v>ecommerce</v>
      </c>
      <c r="K292" t="str">
        <f>IFERROR(VLOOKUP(C292, merchants!$A$2:$D$41, 4, FALSE), "Merchant not found")</f>
        <v>East</v>
      </c>
      <c r="L292" s="2">
        <f>HLOOKUP(F292, merchants!$F$1:$I$2, 2, FALSE)</f>
        <v>1.4999999999999999E-2</v>
      </c>
      <c r="M292" t="str">
        <f t="shared" si="8"/>
        <v>Regular</v>
      </c>
      <c r="N292" s="5">
        <f t="shared" si="9"/>
        <v>46044</v>
      </c>
    </row>
    <row r="293" spans="1:14" x14ac:dyDescent="0.3">
      <c r="A293" t="s">
        <v>306</v>
      </c>
      <c r="B293">
        <v>235</v>
      </c>
      <c r="C293">
        <v>3</v>
      </c>
      <c r="D293" s="1">
        <v>46025.950694444444</v>
      </c>
      <c r="E293">
        <v>49</v>
      </c>
      <c r="F293" t="s">
        <v>12</v>
      </c>
      <c r="G293" t="s">
        <v>10</v>
      </c>
      <c r="H293">
        <v>37</v>
      </c>
      <c r="I293" t="str">
        <f>IFERROR(VLOOKUP(C293, merchants!$A$2:$D$41, 2, FALSE), "Merchant not found")</f>
        <v>Merchant_003</v>
      </c>
      <c r="J293" t="str">
        <f>IFERROR(VLOOKUP(C293, merchants!$A$2:$D$41, 3, FALSE), "Merchant not found")</f>
        <v>grocery</v>
      </c>
      <c r="K293" t="str">
        <f>IFERROR(VLOOKUP(C293, merchants!$A$2:$D$41, 4, FALSE), "Merchant not found")</f>
        <v>East</v>
      </c>
      <c r="L293" s="2">
        <f>HLOOKUP(F293, merchants!$F$1:$I$2, 2, FALSE)</f>
        <v>0</v>
      </c>
      <c r="M293" t="str">
        <f t="shared" si="8"/>
        <v>Regular</v>
      </c>
      <c r="N293" s="5">
        <f t="shared" si="9"/>
        <v>46025</v>
      </c>
    </row>
    <row r="294" spans="1:14" x14ac:dyDescent="0.3">
      <c r="A294" t="s">
        <v>307</v>
      </c>
      <c r="B294">
        <v>103</v>
      </c>
      <c r="C294">
        <v>3</v>
      </c>
      <c r="D294" s="1">
        <v>46029.076388888891</v>
      </c>
      <c r="E294">
        <v>499</v>
      </c>
      <c r="F294" t="s">
        <v>12</v>
      </c>
      <c r="G294" t="s">
        <v>10</v>
      </c>
      <c r="H294">
        <v>40</v>
      </c>
      <c r="I294" t="str">
        <f>IFERROR(VLOOKUP(C294, merchants!$A$2:$D$41, 2, FALSE), "Merchant not found")</f>
        <v>Merchant_003</v>
      </c>
      <c r="J294" t="str">
        <f>IFERROR(VLOOKUP(C294, merchants!$A$2:$D$41, 3, FALSE), "Merchant not found")</f>
        <v>grocery</v>
      </c>
      <c r="K294" t="str">
        <f>IFERROR(VLOOKUP(C294, merchants!$A$2:$D$41, 4, FALSE), "Merchant not found")</f>
        <v>East</v>
      </c>
      <c r="L294" s="2">
        <f>HLOOKUP(F294, merchants!$F$1:$I$2, 2, FALSE)</f>
        <v>0</v>
      </c>
      <c r="M294" t="str">
        <f t="shared" si="8"/>
        <v>Regular</v>
      </c>
      <c r="N294" s="5">
        <f t="shared" si="9"/>
        <v>46029</v>
      </c>
    </row>
    <row r="295" spans="1:14" x14ac:dyDescent="0.3">
      <c r="A295" t="s">
        <v>308</v>
      </c>
      <c r="B295">
        <v>204</v>
      </c>
      <c r="C295">
        <v>35</v>
      </c>
      <c r="D295" s="1">
        <v>46052.397222222222</v>
      </c>
      <c r="E295">
        <v>99</v>
      </c>
      <c r="F295" t="s">
        <v>9</v>
      </c>
      <c r="G295" t="s">
        <v>10</v>
      </c>
      <c r="H295">
        <v>60</v>
      </c>
      <c r="I295" t="str">
        <f>IFERROR(VLOOKUP(C295, merchants!$A$2:$D$41, 2, FALSE), "Merchant not found")</f>
        <v>Merchant_035</v>
      </c>
      <c r="J295" t="str">
        <f>IFERROR(VLOOKUP(C295, merchants!$A$2:$D$41, 3, FALSE), "Merchant not found")</f>
        <v>recharge</v>
      </c>
      <c r="K295" t="str">
        <f>IFERROR(VLOOKUP(C295, merchants!$A$2:$D$41, 4, FALSE), "Merchant not found")</f>
        <v>East</v>
      </c>
      <c r="L295" s="2">
        <f>HLOOKUP(F295, merchants!$F$1:$I$2, 2, FALSE)</f>
        <v>1.4999999999999999E-2</v>
      </c>
      <c r="M295" t="str">
        <f t="shared" si="8"/>
        <v>Regular</v>
      </c>
      <c r="N295" s="5">
        <f t="shared" si="9"/>
        <v>46052</v>
      </c>
    </row>
    <row r="296" spans="1:14" x14ac:dyDescent="0.3">
      <c r="A296" t="s">
        <v>309</v>
      </c>
      <c r="B296">
        <v>332</v>
      </c>
      <c r="C296">
        <v>13</v>
      </c>
      <c r="D296" s="1">
        <v>46031.074999999997</v>
      </c>
      <c r="E296">
        <v>49</v>
      </c>
      <c r="F296" t="s">
        <v>24</v>
      </c>
      <c r="G296" t="s">
        <v>10</v>
      </c>
      <c r="H296">
        <v>36</v>
      </c>
      <c r="I296" t="str">
        <f>IFERROR(VLOOKUP(C296, merchants!$A$2:$D$41, 2, FALSE), "Merchant not found")</f>
        <v>Merchant_013</v>
      </c>
      <c r="J296" t="str">
        <f>IFERROR(VLOOKUP(C296, merchants!$A$2:$D$41, 3, FALSE), "Merchant not found")</f>
        <v>travel</v>
      </c>
      <c r="K296" t="str">
        <f>IFERROR(VLOOKUP(C296, merchants!$A$2:$D$41, 4, FALSE), "Merchant not found")</f>
        <v>East</v>
      </c>
      <c r="L296" s="2">
        <f>HLOOKUP(F296, merchants!$F$1:$I$2, 2, FALSE)</f>
        <v>0.02</v>
      </c>
      <c r="M296" t="str">
        <f t="shared" si="8"/>
        <v>Regular</v>
      </c>
      <c r="N296" s="5">
        <f t="shared" si="9"/>
        <v>46031</v>
      </c>
    </row>
    <row r="297" spans="1:14" x14ac:dyDescent="0.3">
      <c r="A297" t="s">
        <v>310</v>
      </c>
      <c r="B297">
        <v>336</v>
      </c>
      <c r="C297">
        <v>22</v>
      </c>
      <c r="D297" s="1">
        <v>46034.079861111109</v>
      </c>
      <c r="E297">
        <v>499</v>
      </c>
      <c r="F297" t="s">
        <v>12</v>
      </c>
      <c r="G297" t="s">
        <v>10</v>
      </c>
      <c r="H297">
        <v>34</v>
      </c>
      <c r="I297" t="str">
        <f>IFERROR(VLOOKUP(C297, merchants!$A$2:$D$41, 2, FALSE), "Merchant not found")</f>
        <v>Merchant_022</v>
      </c>
      <c r="J297" t="str">
        <f>IFERROR(VLOOKUP(C297, merchants!$A$2:$D$41, 3, FALSE), "Merchant not found")</f>
        <v>travel</v>
      </c>
      <c r="K297" t="str">
        <f>IFERROR(VLOOKUP(C297, merchants!$A$2:$D$41, 4, FALSE), "Merchant not found")</f>
        <v>South</v>
      </c>
      <c r="L297" s="2">
        <f>HLOOKUP(F297, merchants!$F$1:$I$2, 2, FALSE)</f>
        <v>0</v>
      </c>
      <c r="M297" t="str">
        <f t="shared" si="8"/>
        <v>Regular</v>
      </c>
      <c r="N297" s="5">
        <f t="shared" si="9"/>
        <v>46034</v>
      </c>
    </row>
    <row r="298" spans="1:14" x14ac:dyDescent="0.3">
      <c r="A298" t="s">
        <v>311</v>
      </c>
      <c r="B298">
        <v>205</v>
      </c>
      <c r="C298">
        <v>29</v>
      </c>
      <c r="D298" s="1">
        <v>46026.477083333331</v>
      </c>
      <c r="E298">
        <v>99</v>
      </c>
      <c r="F298" t="s">
        <v>9</v>
      </c>
      <c r="G298" t="s">
        <v>10</v>
      </c>
      <c r="H298">
        <v>49</v>
      </c>
      <c r="I298" t="str">
        <f>IFERROR(VLOOKUP(C298, merchants!$A$2:$D$41, 2, FALSE), "Merchant not found")</f>
        <v>Merchant_029</v>
      </c>
      <c r="J298" t="str">
        <f>IFERROR(VLOOKUP(C298, merchants!$A$2:$D$41, 3, FALSE), "Merchant not found")</f>
        <v>ecommerce</v>
      </c>
      <c r="K298" t="str">
        <f>IFERROR(VLOOKUP(C298, merchants!$A$2:$D$41, 4, FALSE), "Merchant not found")</f>
        <v>North</v>
      </c>
      <c r="L298" s="2">
        <f>HLOOKUP(F298, merchants!$F$1:$I$2, 2, FALSE)</f>
        <v>1.4999999999999999E-2</v>
      </c>
      <c r="M298" t="str">
        <f t="shared" si="8"/>
        <v>Regular</v>
      </c>
      <c r="N298" s="5">
        <f t="shared" si="9"/>
        <v>46026</v>
      </c>
    </row>
    <row r="299" spans="1:14" x14ac:dyDescent="0.3">
      <c r="A299" t="s">
        <v>312</v>
      </c>
      <c r="B299">
        <v>255</v>
      </c>
      <c r="C299">
        <v>24</v>
      </c>
      <c r="D299" s="1">
        <v>46033.229861111111</v>
      </c>
      <c r="E299">
        <v>799</v>
      </c>
      <c r="F299" t="s">
        <v>12</v>
      </c>
      <c r="G299" t="s">
        <v>10</v>
      </c>
      <c r="H299">
        <v>66</v>
      </c>
      <c r="I299" t="str">
        <f>IFERROR(VLOOKUP(C299, merchants!$A$2:$D$41, 2, FALSE), "Merchant not found")</f>
        <v>Merchant_024</v>
      </c>
      <c r="J299" t="str">
        <f>IFERROR(VLOOKUP(C299, merchants!$A$2:$D$41, 3, FALSE), "Merchant not found")</f>
        <v>grocery</v>
      </c>
      <c r="K299" t="str">
        <f>IFERROR(VLOOKUP(C299, merchants!$A$2:$D$41, 4, FALSE), "Merchant not found")</f>
        <v>North</v>
      </c>
      <c r="L299" s="2">
        <f>HLOOKUP(F299, merchants!$F$1:$I$2, 2, FALSE)</f>
        <v>0</v>
      </c>
      <c r="M299" t="str">
        <f t="shared" si="8"/>
        <v>Regular</v>
      </c>
      <c r="N299" s="5">
        <f t="shared" si="9"/>
        <v>46033</v>
      </c>
    </row>
    <row r="300" spans="1:14" x14ac:dyDescent="0.3">
      <c r="A300" t="s">
        <v>313</v>
      </c>
      <c r="B300">
        <v>218</v>
      </c>
      <c r="C300">
        <v>6</v>
      </c>
      <c r="D300" s="1">
        <v>46031.115277777775</v>
      </c>
      <c r="E300">
        <v>99</v>
      </c>
      <c r="F300" t="s">
        <v>12</v>
      </c>
      <c r="G300" t="s">
        <v>10</v>
      </c>
      <c r="H300">
        <v>55</v>
      </c>
      <c r="I300" t="str">
        <f>IFERROR(VLOOKUP(C300, merchants!$A$2:$D$41, 2, FALSE), "Merchant not found")</f>
        <v>Merchant_006</v>
      </c>
      <c r="J300" t="str">
        <f>IFERROR(VLOOKUP(C300, merchants!$A$2:$D$41, 3, FALSE), "Merchant not found")</f>
        <v>food_delivery</v>
      </c>
      <c r="K300" t="str">
        <f>IFERROR(VLOOKUP(C300, merchants!$A$2:$D$41, 4, FALSE), "Merchant not found")</f>
        <v>South</v>
      </c>
      <c r="L300" s="2">
        <f>HLOOKUP(F300, merchants!$F$1:$I$2, 2, FALSE)</f>
        <v>0</v>
      </c>
      <c r="M300" t="str">
        <f t="shared" si="8"/>
        <v>Regular</v>
      </c>
      <c r="N300" s="5">
        <f t="shared" si="9"/>
        <v>46031</v>
      </c>
    </row>
    <row r="301" spans="1:14" x14ac:dyDescent="0.3">
      <c r="A301" t="s">
        <v>314</v>
      </c>
      <c r="B301">
        <v>151</v>
      </c>
      <c r="C301">
        <v>21</v>
      </c>
      <c r="D301" s="1">
        <v>46042.231944444444</v>
      </c>
      <c r="E301">
        <v>49</v>
      </c>
      <c r="F301" t="s">
        <v>12</v>
      </c>
      <c r="G301" t="s">
        <v>10</v>
      </c>
      <c r="H301">
        <v>13</v>
      </c>
      <c r="I301" t="str">
        <f>IFERROR(VLOOKUP(C301, merchants!$A$2:$D$41, 2, FALSE), "Merchant not found")</f>
        <v>Merchant_021</v>
      </c>
      <c r="J301" t="str">
        <f>IFERROR(VLOOKUP(C301, merchants!$A$2:$D$41, 3, FALSE), "Merchant not found")</f>
        <v>food_delivery</v>
      </c>
      <c r="K301" t="str">
        <f>IFERROR(VLOOKUP(C301, merchants!$A$2:$D$41, 4, FALSE), "Merchant not found")</f>
        <v>East</v>
      </c>
      <c r="L301" s="2">
        <f>HLOOKUP(F301, merchants!$F$1:$I$2, 2, FALSE)</f>
        <v>0</v>
      </c>
      <c r="M301" t="str">
        <f t="shared" si="8"/>
        <v>Regular</v>
      </c>
      <c r="N301" s="5">
        <f t="shared" si="9"/>
        <v>46042</v>
      </c>
    </row>
    <row r="302" spans="1:14" x14ac:dyDescent="0.3">
      <c r="A302" t="s">
        <v>315</v>
      </c>
      <c r="B302">
        <v>152</v>
      </c>
      <c r="C302">
        <v>20</v>
      </c>
      <c r="D302" s="1">
        <v>46025.445833333331</v>
      </c>
      <c r="E302">
        <v>49</v>
      </c>
      <c r="F302" t="s">
        <v>12</v>
      </c>
      <c r="G302" t="s">
        <v>10</v>
      </c>
      <c r="H302">
        <v>57</v>
      </c>
      <c r="I302" t="str">
        <f>IFERROR(VLOOKUP(C302, merchants!$A$2:$D$41, 2, FALSE), "Merchant not found")</f>
        <v>Merchant_020</v>
      </c>
      <c r="J302" t="str">
        <f>IFERROR(VLOOKUP(C302, merchants!$A$2:$D$41, 3, FALSE), "Merchant not found")</f>
        <v>food_delivery</v>
      </c>
      <c r="K302" t="str">
        <f>IFERROR(VLOOKUP(C302, merchants!$A$2:$D$41, 4, FALSE), "Merchant not found")</f>
        <v>East</v>
      </c>
      <c r="L302" s="2">
        <f>HLOOKUP(F302, merchants!$F$1:$I$2, 2, FALSE)</f>
        <v>0</v>
      </c>
      <c r="M302" t="str">
        <f t="shared" si="8"/>
        <v>Regular</v>
      </c>
      <c r="N302" s="5">
        <f t="shared" si="9"/>
        <v>46025</v>
      </c>
    </row>
    <row r="303" spans="1:14" x14ac:dyDescent="0.3">
      <c r="A303" t="s">
        <v>316</v>
      </c>
      <c r="B303">
        <v>86</v>
      </c>
      <c r="C303">
        <v>29</v>
      </c>
      <c r="D303" s="1">
        <v>46042.935416666667</v>
      </c>
      <c r="E303">
        <v>149</v>
      </c>
      <c r="F303" t="s">
        <v>24</v>
      </c>
      <c r="G303" t="s">
        <v>10</v>
      </c>
      <c r="H303">
        <v>44</v>
      </c>
      <c r="I303" t="str">
        <f>IFERROR(VLOOKUP(C303, merchants!$A$2:$D$41, 2, FALSE), "Merchant not found")</f>
        <v>Merchant_029</v>
      </c>
      <c r="J303" t="str">
        <f>IFERROR(VLOOKUP(C303, merchants!$A$2:$D$41, 3, FALSE), "Merchant not found")</f>
        <v>ecommerce</v>
      </c>
      <c r="K303" t="str">
        <f>IFERROR(VLOOKUP(C303, merchants!$A$2:$D$41, 4, FALSE), "Merchant not found")</f>
        <v>North</v>
      </c>
      <c r="L303" s="2">
        <f>HLOOKUP(F303, merchants!$F$1:$I$2, 2, FALSE)</f>
        <v>0.02</v>
      </c>
      <c r="M303" t="str">
        <f t="shared" si="8"/>
        <v>Regular</v>
      </c>
      <c r="N303" s="5">
        <f t="shared" si="9"/>
        <v>46042</v>
      </c>
    </row>
    <row r="304" spans="1:14" x14ac:dyDescent="0.3">
      <c r="A304" t="s">
        <v>317</v>
      </c>
      <c r="B304">
        <v>181</v>
      </c>
      <c r="C304">
        <v>40</v>
      </c>
      <c r="D304" s="1">
        <v>46037.073611111111</v>
      </c>
      <c r="E304">
        <v>149</v>
      </c>
      <c r="F304" t="s">
        <v>12</v>
      </c>
      <c r="G304" t="s">
        <v>10</v>
      </c>
      <c r="H304">
        <v>55</v>
      </c>
      <c r="I304" t="str">
        <f>IFERROR(VLOOKUP(C304, merchants!$A$2:$D$41, 2, FALSE), "Merchant not found")</f>
        <v>Merchant_040</v>
      </c>
      <c r="J304" t="str">
        <f>IFERROR(VLOOKUP(C304, merchants!$A$2:$D$41, 3, FALSE), "Merchant not found")</f>
        <v>entertainment</v>
      </c>
      <c r="K304" t="str">
        <f>IFERROR(VLOOKUP(C304, merchants!$A$2:$D$41, 4, FALSE), "Merchant not found")</f>
        <v>South</v>
      </c>
      <c r="L304" s="2">
        <f>HLOOKUP(F304, merchants!$F$1:$I$2, 2, FALSE)</f>
        <v>0</v>
      </c>
      <c r="M304" t="str">
        <f t="shared" si="8"/>
        <v>Regular</v>
      </c>
      <c r="N304" s="5">
        <f t="shared" si="9"/>
        <v>46037</v>
      </c>
    </row>
    <row r="305" spans="1:14" x14ac:dyDescent="0.3">
      <c r="A305" t="s">
        <v>318</v>
      </c>
      <c r="B305">
        <v>30</v>
      </c>
      <c r="C305">
        <v>5</v>
      </c>
      <c r="D305" s="1">
        <v>46031.868055555555</v>
      </c>
      <c r="E305">
        <v>299</v>
      </c>
      <c r="F305" t="s">
        <v>12</v>
      </c>
      <c r="G305" t="s">
        <v>10</v>
      </c>
      <c r="H305">
        <v>85</v>
      </c>
      <c r="I305" t="str">
        <f>IFERROR(VLOOKUP(C305, merchants!$A$2:$D$41, 2, FALSE), "Merchant not found")</f>
        <v>Merchant_005</v>
      </c>
      <c r="J305" t="str">
        <f>IFERROR(VLOOKUP(C305, merchants!$A$2:$D$41, 3, FALSE), "Merchant not found")</f>
        <v>recharge</v>
      </c>
      <c r="K305" t="str">
        <f>IFERROR(VLOOKUP(C305, merchants!$A$2:$D$41, 4, FALSE), "Merchant not found")</f>
        <v>South</v>
      </c>
      <c r="L305" s="2">
        <f>HLOOKUP(F305, merchants!$F$1:$I$2, 2, FALSE)</f>
        <v>0</v>
      </c>
      <c r="M305" t="str">
        <f t="shared" si="8"/>
        <v>Regular</v>
      </c>
      <c r="N305" s="5">
        <f t="shared" si="9"/>
        <v>46031</v>
      </c>
    </row>
    <row r="306" spans="1:14" x14ac:dyDescent="0.3">
      <c r="A306" t="s">
        <v>319</v>
      </c>
      <c r="B306">
        <v>263</v>
      </c>
      <c r="C306">
        <v>11</v>
      </c>
      <c r="D306" s="1">
        <v>46043.515972222223</v>
      </c>
      <c r="E306">
        <v>149</v>
      </c>
      <c r="F306" t="s">
        <v>9</v>
      </c>
      <c r="G306" t="s">
        <v>10</v>
      </c>
      <c r="H306">
        <v>3</v>
      </c>
      <c r="I306" t="str">
        <f>IFERROR(VLOOKUP(C306, merchants!$A$2:$D$41, 2, FALSE), "Merchant not found")</f>
        <v>Merchant_011</v>
      </c>
      <c r="J306" t="str">
        <f>IFERROR(VLOOKUP(C306, merchants!$A$2:$D$41, 3, FALSE), "Merchant not found")</f>
        <v>ecommerce</v>
      </c>
      <c r="K306" t="str">
        <f>IFERROR(VLOOKUP(C306, merchants!$A$2:$D$41, 4, FALSE), "Merchant not found")</f>
        <v>North</v>
      </c>
      <c r="L306" s="2">
        <f>HLOOKUP(F306, merchants!$F$1:$I$2, 2, FALSE)</f>
        <v>1.4999999999999999E-2</v>
      </c>
      <c r="M306" t="str">
        <f t="shared" si="8"/>
        <v>Regular</v>
      </c>
      <c r="N306" s="5">
        <f t="shared" si="9"/>
        <v>46043</v>
      </c>
    </row>
    <row r="307" spans="1:14" x14ac:dyDescent="0.3">
      <c r="A307" t="s">
        <v>320</v>
      </c>
      <c r="B307">
        <v>225</v>
      </c>
      <c r="C307">
        <v>3</v>
      </c>
      <c r="D307" s="1">
        <v>46027.821527777778</v>
      </c>
      <c r="E307">
        <v>99</v>
      </c>
      <c r="F307" t="s">
        <v>15</v>
      </c>
      <c r="G307" t="s">
        <v>10</v>
      </c>
      <c r="H307">
        <v>16</v>
      </c>
      <c r="I307" t="str">
        <f>IFERROR(VLOOKUP(C307, merchants!$A$2:$D$41, 2, FALSE), "Merchant not found")</f>
        <v>Merchant_003</v>
      </c>
      <c r="J307" t="str">
        <f>IFERROR(VLOOKUP(C307, merchants!$A$2:$D$41, 3, FALSE), "Merchant not found")</f>
        <v>grocery</v>
      </c>
      <c r="K307" t="str">
        <f>IFERROR(VLOOKUP(C307, merchants!$A$2:$D$41, 4, FALSE), "Merchant not found")</f>
        <v>East</v>
      </c>
      <c r="L307" s="2">
        <f>HLOOKUP(F307, merchants!$F$1:$I$2, 2, FALSE)</f>
        <v>1.7999999999999999E-2</v>
      </c>
      <c r="M307" t="str">
        <f t="shared" si="8"/>
        <v>Regular</v>
      </c>
      <c r="N307" s="5">
        <f t="shared" si="9"/>
        <v>46027</v>
      </c>
    </row>
    <row r="308" spans="1:14" x14ac:dyDescent="0.3">
      <c r="A308" t="s">
        <v>321</v>
      </c>
      <c r="B308">
        <v>331</v>
      </c>
      <c r="C308">
        <v>24</v>
      </c>
      <c r="D308" s="1">
        <v>46025.325694444444</v>
      </c>
      <c r="E308">
        <v>49</v>
      </c>
      <c r="F308" t="s">
        <v>24</v>
      </c>
      <c r="G308" t="s">
        <v>10</v>
      </c>
      <c r="H308">
        <v>46</v>
      </c>
      <c r="I308" t="str">
        <f>IFERROR(VLOOKUP(C308, merchants!$A$2:$D$41, 2, FALSE), "Merchant not found")</f>
        <v>Merchant_024</v>
      </c>
      <c r="J308" t="str">
        <f>IFERROR(VLOOKUP(C308, merchants!$A$2:$D$41, 3, FALSE), "Merchant not found")</f>
        <v>grocery</v>
      </c>
      <c r="K308" t="str">
        <f>IFERROR(VLOOKUP(C308, merchants!$A$2:$D$41, 4, FALSE), "Merchant not found")</f>
        <v>North</v>
      </c>
      <c r="L308" s="2">
        <f>HLOOKUP(F308, merchants!$F$1:$I$2, 2, FALSE)</f>
        <v>0.02</v>
      </c>
      <c r="M308" t="str">
        <f t="shared" si="8"/>
        <v>Regular</v>
      </c>
      <c r="N308" s="5">
        <f t="shared" si="9"/>
        <v>46025</v>
      </c>
    </row>
    <row r="309" spans="1:14" x14ac:dyDescent="0.3">
      <c r="A309" t="s">
        <v>322</v>
      </c>
      <c r="B309">
        <v>310</v>
      </c>
      <c r="C309">
        <v>10</v>
      </c>
      <c r="D309" s="1">
        <v>46035.751388888886</v>
      </c>
      <c r="E309">
        <v>1499</v>
      </c>
      <c r="F309" t="s">
        <v>24</v>
      </c>
      <c r="G309" t="s">
        <v>10</v>
      </c>
      <c r="H309">
        <v>86</v>
      </c>
      <c r="I309" t="str">
        <f>IFERROR(VLOOKUP(C309, merchants!$A$2:$D$41, 2, FALSE), "Merchant not found")</f>
        <v>Merchant_010</v>
      </c>
      <c r="J309" t="str">
        <f>IFERROR(VLOOKUP(C309, merchants!$A$2:$D$41, 3, FALSE), "Merchant not found")</f>
        <v>grocery</v>
      </c>
      <c r="K309" t="str">
        <f>IFERROR(VLOOKUP(C309, merchants!$A$2:$D$41, 4, FALSE), "Merchant not found")</f>
        <v>West</v>
      </c>
      <c r="L309" s="2">
        <f>HLOOKUP(F309, merchants!$F$1:$I$2, 2, FALSE)</f>
        <v>0.02</v>
      </c>
      <c r="M309" t="str">
        <f t="shared" si="8"/>
        <v>Regular</v>
      </c>
      <c r="N309" s="5">
        <f t="shared" si="9"/>
        <v>46035</v>
      </c>
    </row>
    <row r="310" spans="1:14" x14ac:dyDescent="0.3">
      <c r="A310" t="s">
        <v>323</v>
      </c>
      <c r="B310">
        <v>228</v>
      </c>
      <c r="C310">
        <v>5</v>
      </c>
      <c r="D310" s="1">
        <v>46037.474305555559</v>
      </c>
      <c r="E310">
        <v>49</v>
      </c>
      <c r="F310" t="s">
        <v>12</v>
      </c>
      <c r="G310" t="s">
        <v>10</v>
      </c>
      <c r="H310">
        <v>73</v>
      </c>
      <c r="I310" t="str">
        <f>IFERROR(VLOOKUP(C310, merchants!$A$2:$D$41, 2, FALSE), "Merchant not found")</f>
        <v>Merchant_005</v>
      </c>
      <c r="J310" t="str">
        <f>IFERROR(VLOOKUP(C310, merchants!$A$2:$D$41, 3, FALSE), "Merchant not found")</f>
        <v>recharge</v>
      </c>
      <c r="K310" t="str">
        <f>IFERROR(VLOOKUP(C310, merchants!$A$2:$D$41, 4, FALSE), "Merchant not found")</f>
        <v>South</v>
      </c>
      <c r="L310" s="2">
        <f>HLOOKUP(F310, merchants!$F$1:$I$2, 2, FALSE)</f>
        <v>0</v>
      </c>
      <c r="M310" t="str">
        <f t="shared" si="8"/>
        <v>Regular</v>
      </c>
      <c r="N310" s="5">
        <f t="shared" si="9"/>
        <v>46037</v>
      </c>
    </row>
    <row r="311" spans="1:14" x14ac:dyDescent="0.3">
      <c r="A311" t="s">
        <v>324</v>
      </c>
      <c r="B311">
        <v>204</v>
      </c>
      <c r="C311">
        <v>21</v>
      </c>
      <c r="D311" s="1">
        <v>46027.682638888888</v>
      </c>
      <c r="E311">
        <v>499</v>
      </c>
      <c r="F311" t="s">
        <v>12</v>
      </c>
      <c r="G311" t="s">
        <v>10</v>
      </c>
      <c r="H311">
        <v>83</v>
      </c>
      <c r="I311" t="str">
        <f>IFERROR(VLOOKUP(C311, merchants!$A$2:$D$41, 2, FALSE), "Merchant not found")</f>
        <v>Merchant_021</v>
      </c>
      <c r="J311" t="str">
        <f>IFERROR(VLOOKUP(C311, merchants!$A$2:$D$41, 3, FALSE), "Merchant not found")</f>
        <v>food_delivery</v>
      </c>
      <c r="K311" t="str">
        <f>IFERROR(VLOOKUP(C311, merchants!$A$2:$D$41, 4, FALSE), "Merchant not found")</f>
        <v>East</v>
      </c>
      <c r="L311" s="2">
        <f>HLOOKUP(F311, merchants!$F$1:$I$2, 2, FALSE)</f>
        <v>0</v>
      </c>
      <c r="M311" t="str">
        <f t="shared" si="8"/>
        <v>Regular</v>
      </c>
      <c r="N311" s="5">
        <f t="shared" si="9"/>
        <v>46027</v>
      </c>
    </row>
    <row r="312" spans="1:14" x14ac:dyDescent="0.3">
      <c r="A312" t="s">
        <v>325</v>
      </c>
      <c r="B312">
        <v>14</v>
      </c>
      <c r="C312">
        <v>12</v>
      </c>
      <c r="D312" s="1">
        <v>46031.296527777777</v>
      </c>
      <c r="E312">
        <v>799</v>
      </c>
      <c r="F312" t="s">
        <v>15</v>
      </c>
      <c r="G312" t="s">
        <v>10</v>
      </c>
      <c r="H312">
        <v>63</v>
      </c>
      <c r="I312" t="str">
        <f>IFERROR(VLOOKUP(C312, merchants!$A$2:$D$41, 2, FALSE), "Merchant not found")</f>
        <v>Merchant_012</v>
      </c>
      <c r="J312" t="str">
        <f>IFERROR(VLOOKUP(C312, merchants!$A$2:$D$41, 3, FALSE), "Merchant not found")</f>
        <v>ecommerce</v>
      </c>
      <c r="K312" t="str">
        <f>IFERROR(VLOOKUP(C312, merchants!$A$2:$D$41, 4, FALSE), "Merchant not found")</f>
        <v>East</v>
      </c>
      <c r="L312" s="2">
        <f>HLOOKUP(F312, merchants!$F$1:$I$2, 2, FALSE)</f>
        <v>1.7999999999999999E-2</v>
      </c>
      <c r="M312" t="str">
        <f t="shared" si="8"/>
        <v>Regular</v>
      </c>
      <c r="N312" s="5">
        <f t="shared" si="9"/>
        <v>46031</v>
      </c>
    </row>
    <row r="313" spans="1:14" x14ac:dyDescent="0.3">
      <c r="A313" t="s">
        <v>326</v>
      </c>
      <c r="B313">
        <v>288</v>
      </c>
      <c r="C313">
        <v>8</v>
      </c>
      <c r="D313" s="1">
        <v>46039.540277777778</v>
      </c>
      <c r="E313">
        <v>49</v>
      </c>
      <c r="F313" t="s">
        <v>12</v>
      </c>
      <c r="G313" t="s">
        <v>10</v>
      </c>
      <c r="H313">
        <v>33</v>
      </c>
      <c r="I313" t="str">
        <f>IFERROR(VLOOKUP(C313, merchants!$A$2:$D$41, 2, FALSE), "Merchant not found")</f>
        <v>Merchant_008</v>
      </c>
      <c r="J313" t="str">
        <f>IFERROR(VLOOKUP(C313, merchants!$A$2:$D$41, 3, FALSE), "Merchant not found")</f>
        <v>food_delivery</v>
      </c>
      <c r="K313" t="str">
        <f>IFERROR(VLOOKUP(C313, merchants!$A$2:$D$41, 4, FALSE), "Merchant not found")</f>
        <v>North</v>
      </c>
      <c r="L313" s="2">
        <f>HLOOKUP(F313, merchants!$F$1:$I$2, 2, FALSE)</f>
        <v>0</v>
      </c>
      <c r="M313" t="str">
        <f t="shared" si="8"/>
        <v>Regular</v>
      </c>
      <c r="N313" s="5">
        <f t="shared" si="9"/>
        <v>46039</v>
      </c>
    </row>
    <row r="314" spans="1:14" x14ac:dyDescent="0.3">
      <c r="A314" t="s">
        <v>327</v>
      </c>
      <c r="B314">
        <v>229</v>
      </c>
      <c r="C314">
        <v>14</v>
      </c>
      <c r="D314" s="1">
        <v>46047.364583333336</v>
      </c>
      <c r="E314">
        <v>1499</v>
      </c>
      <c r="F314" t="s">
        <v>12</v>
      </c>
      <c r="G314" t="s">
        <v>10</v>
      </c>
      <c r="H314">
        <v>78</v>
      </c>
      <c r="I314" t="str">
        <f>IFERROR(VLOOKUP(C314, merchants!$A$2:$D$41, 2, FALSE), "Merchant not found")</f>
        <v>Merchant_014</v>
      </c>
      <c r="J314" t="str">
        <f>IFERROR(VLOOKUP(C314, merchants!$A$2:$D$41, 3, FALSE), "Merchant not found")</f>
        <v>grocery</v>
      </c>
      <c r="K314" t="str">
        <f>IFERROR(VLOOKUP(C314, merchants!$A$2:$D$41, 4, FALSE), "Merchant not found")</f>
        <v>East</v>
      </c>
      <c r="L314" s="2">
        <f>HLOOKUP(F314, merchants!$F$1:$I$2, 2, FALSE)</f>
        <v>0</v>
      </c>
      <c r="M314" t="str">
        <f t="shared" si="8"/>
        <v>Regular</v>
      </c>
      <c r="N314" s="5">
        <f t="shared" si="9"/>
        <v>46047</v>
      </c>
    </row>
    <row r="315" spans="1:14" x14ac:dyDescent="0.3">
      <c r="A315" t="s">
        <v>328</v>
      </c>
      <c r="B315">
        <v>252</v>
      </c>
      <c r="C315">
        <v>13</v>
      </c>
      <c r="D315" s="1">
        <v>46032.956944444442</v>
      </c>
      <c r="E315">
        <v>99</v>
      </c>
      <c r="F315" t="s">
        <v>9</v>
      </c>
      <c r="G315" t="s">
        <v>10</v>
      </c>
      <c r="H315">
        <v>15</v>
      </c>
      <c r="I315" t="str">
        <f>IFERROR(VLOOKUP(C315, merchants!$A$2:$D$41, 2, FALSE), "Merchant not found")</f>
        <v>Merchant_013</v>
      </c>
      <c r="J315" t="str">
        <f>IFERROR(VLOOKUP(C315, merchants!$A$2:$D$41, 3, FALSE), "Merchant not found")</f>
        <v>travel</v>
      </c>
      <c r="K315" t="str">
        <f>IFERROR(VLOOKUP(C315, merchants!$A$2:$D$41, 4, FALSE), "Merchant not found")</f>
        <v>East</v>
      </c>
      <c r="L315" s="2">
        <f>HLOOKUP(F315, merchants!$F$1:$I$2, 2, FALSE)</f>
        <v>1.4999999999999999E-2</v>
      </c>
      <c r="M315" t="str">
        <f t="shared" si="8"/>
        <v>Regular</v>
      </c>
      <c r="N315" s="5">
        <f t="shared" si="9"/>
        <v>46032</v>
      </c>
    </row>
    <row r="316" spans="1:14" x14ac:dyDescent="0.3">
      <c r="A316" t="s">
        <v>329</v>
      </c>
      <c r="B316">
        <v>89</v>
      </c>
      <c r="C316">
        <v>29</v>
      </c>
      <c r="D316" s="1">
        <v>46027.102777777778</v>
      </c>
      <c r="E316">
        <v>799</v>
      </c>
      <c r="F316" t="s">
        <v>12</v>
      </c>
      <c r="G316" t="s">
        <v>10</v>
      </c>
      <c r="H316">
        <v>11</v>
      </c>
      <c r="I316" t="str">
        <f>IFERROR(VLOOKUP(C316, merchants!$A$2:$D$41, 2, FALSE), "Merchant not found")</f>
        <v>Merchant_029</v>
      </c>
      <c r="J316" t="str">
        <f>IFERROR(VLOOKUP(C316, merchants!$A$2:$D$41, 3, FALSE), "Merchant not found")</f>
        <v>ecommerce</v>
      </c>
      <c r="K316" t="str">
        <f>IFERROR(VLOOKUP(C316, merchants!$A$2:$D$41, 4, FALSE), "Merchant not found")</f>
        <v>North</v>
      </c>
      <c r="L316" s="2">
        <f>HLOOKUP(F316, merchants!$F$1:$I$2, 2, FALSE)</f>
        <v>0</v>
      </c>
      <c r="M316" t="str">
        <f t="shared" si="8"/>
        <v>Regular</v>
      </c>
      <c r="N316" s="5">
        <f t="shared" si="9"/>
        <v>46027</v>
      </c>
    </row>
    <row r="317" spans="1:14" x14ac:dyDescent="0.3">
      <c r="A317" t="s">
        <v>330</v>
      </c>
      <c r="B317">
        <v>164</v>
      </c>
      <c r="C317">
        <v>23</v>
      </c>
      <c r="D317" s="1">
        <v>46048.912499999999</v>
      </c>
      <c r="E317">
        <v>49</v>
      </c>
      <c r="F317" t="s">
        <v>15</v>
      </c>
      <c r="G317" t="s">
        <v>10</v>
      </c>
      <c r="H317">
        <v>90</v>
      </c>
      <c r="I317" t="str">
        <f>IFERROR(VLOOKUP(C317, merchants!$A$2:$D$41, 2, FALSE), "Merchant not found")</f>
        <v>Merchant_023</v>
      </c>
      <c r="J317" t="str">
        <f>IFERROR(VLOOKUP(C317, merchants!$A$2:$D$41, 3, FALSE), "Merchant not found")</f>
        <v>travel</v>
      </c>
      <c r="K317" t="str">
        <f>IFERROR(VLOOKUP(C317, merchants!$A$2:$D$41, 4, FALSE), "Merchant not found")</f>
        <v>North</v>
      </c>
      <c r="L317" s="2">
        <f>HLOOKUP(F317, merchants!$F$1:$I$2, 2, FALSE)</f>
        <v>1.7999999999999999E-2</v>
      </c>
      <c r="M317" t="str">
        <f t="shared" si="8"/>
        <v>Regular</v>
      </c>
      <c r="N317" s="5">
        <f t="shared" si="9"/>
        <v>46048</v>
      </c>
    </row>
    <row r="318" spans="1:14" x14ac:dyDescent="0.3">
      <c r="A318" t="s">
        <v>331</v>
      </c>
      <c r="B318">
        <v>149</v>
      </c>
      <c r="C318">
        <v>20</v>
      </c>
      <c r="D318" s="1">
        <v>46025.731944444444</v>
      </c>
      <c r="E318">
        <v>299</v>
      </c>
      <c r="F318" t="s">
        <v>9</v>
      </c>
      <c r="G318" t="s">
        <v>10</v>
      </c>
      <c r="H318">
        <v>20</v>
      </c>
      <c r="I318" t="str">
        <f>IFERROR(VLOOKUP(C318, merchants!$A$2:$D$41, 2, FALSE), "Merchant not found")</f>
        <v>Merchant_020</v>
      </c>
      <c r="J318" t="str">
        <f>IFERROR(VLOOKUP(C318, merchants!$A$2:$D$41, 3, FALSE), "Merchant not found")</f>
        <v>food_delivery</v>
      </c>
      <c r="K318" t="str">
        <f>IFERROR(VLOOKUP(C318, merchants!$A$2:$D$41, 4, FALSE), "Merchant not found")</f>
        <v>East</v>
      </c>
      <c r="L318" s="2">
        <f>HLOOKUP(F318, merchants!$F$1:$I$2, 2, FALSE)</f>
        <v>1.4999999999999999E-2</v>
      </c>
      <c r="M318" t="str">
        <f t="shared" si="8"/>
        <v>Regular</v>
      </c>
      <c r="N318" s="5">
        <f t="shared" si="9"/>
        <v>46025</v>
      </c>
    </row>
    <row r="319" spans="1:14" x14ac:dyDescent="0.3">
      <c r="A319" t="s">
        <v>332</v>
      </c>
      <c r="B319">
        <v>327</v>
      </c>
      <c r="C319">
        <v>12</v>
      </c>
      <c r="D319" s="1">
        <v>46045.957638888889</v>
      </c>
      <c r="E319">
        <v>49</v>
      </c>
      <c r="F319" t="s">
        <v>15</v>
      </c>
      <c r="G319" t="s">
        <v>10</v>
      </c>
      <c r="H319">
        <v>46</v>
      </c>
      <c r="I319" t="str">
        <f>IFERROR(VLOOKUP(C319, merchants!$A$2:$D$41, 2, FALSE), "Merchant not found")</f>
        <v>Merchant_012</v>
      </c>
      <c r="J319" t="str">
        <f>IFERROR(VLOOKUP(C319, merchants!$A$2:$D$41, 3, FALSE), "Merchant not found")</f>
        <v>ecommerce</v>
      </c>
      <c r="K319" t="str">
        <f>IFERROR(VLOOKUP(C319, merchants!$A$2:$D$41, 4, FALSE), "Merchant not found")</f>
        <v>East</v>
      </c>
      <c r="L319" s="2">
        <f>HLOOKUP(F319, merchants!$F$1:$I$2, 2, FALSE)</f>
        <v>1.7999999999999999E-2</v>
      </c>
      <c r="M319" t="str">
        <f t="shared" si="8"/>
        <v>Regular</v>
      </c>
      <c r="N319" s="5">
        <f t="shared" si="9"/>
        <v>46045</v>
      </c>
    </row>
    <row r="320" spans="1:14" x14ac:dyDescent="0.3">
      <c r="A320" t="s">
        <v>333</v>
      </c>
      <c r="B320">
        <v>103</v>
      </c>
      <c r="C320">
        <v>9</v>
      </c>
      <c r="D320" s="1">
        <v>46039.296527777777</v>
      </c>
      <c r="E320">
        <v>149</v>
      </c>
      <c r="F320" t="s">
        <v>12</v>
      </c>
      <c r="G320" t="s">
        <v>10</v>
      </c>
      <c r="H320">
        <v>30</v>
      </c>
      <c r="I320" t="str">
        <f>IFERROR(VLOOKUP(C320, merchants!$A$2:$D$41, 2, FALSE), "Merchant not found")</f>
        <v>Merchant_009</v>
      </c>
      <c r="J320" t="str">
        <f>IFERROR(VLOOKUP(C320, merchants!$A$2:$D$41, 3, FALSE), "Merchant not found")</f>
        <v>ecommerce</v>
      </c>
      <c r="K320" t="str">
        <f>IFERROR(VLOOKUP(C320, merchants!$A$2:$D$41, 4, FALSE), "Merchant not found")</f>
        <v>North</v>
      </c>
      <c r="L320" s="2">
        <f>HLOOKUP(F320, merchants!$F$1:$I$2, 2, FALSE)</f>
        <v>0</v>
      </c>
      <c r="M320" t="str">
        <f t="shared" si="8"/>
        <v>Regular</v>
      </c>
      <c r="N320" s="5">
        <f t="shared" si="9"/>
        <v>46039</v>
      </c>
    </row>
    <row r="321" spans="1:14" x14ac:dyDescent="0.3">
      <c r="A321" t="s">
        <v>334</v>
      </c>
      <c r="B321">
        <v>185</v>
      </c>
      <c r="C321">
        <v>36</v>
      </c>
      <c r="D321" s="1">
        <v>46048.625694444447</v>
      </c>
      <c r="E321">
        <v>49</v>
      </c>
      <c r="F321" t="s">
        <v>9</v>
      </c>
      <c r="G321" t="s">
        <v>10</v>
      </c>
      <c r="H321">
        <v>73</v>
      </c>
      <c r="I321" t="str">
        <f>IFERROR(VLOOKUP(C321, merchants!$A$2:$D$41, 2, FALSE), "Merchant not found")</f>
        <v>Merchant_036</v>
      </c>
      <c r="J321" t="str">
        <f>IFERROR(VLOOKUP(C321, merchants!$A$2:$D$41, 3, FALSE), "Merchant not found")</f>
        <v>entertainment</v>
      </c>
      <c r="K321" t="str">
        <f>IFERROR(VLOOKUP(C321, merchants!$A$2:$D$41, 4, FALSE), "Merchant not found")</f>
        <v>East</v>
      </c>
      <c r="L321" s="2">
        <f>HLOOKUP(F321, merchants!$F$1:$I$2, 2, FALSE)</f>
        <v>1.4999999999999999E-2</v>
      </c>
      <c r="M321" t="str">
        <f t="shared" si="8"/>
        <v>Regular</v>
      </c>
      <c r="N321" s="5">
        <f t="shared" si="9"/>
        <v>46048</v>
      </c>
    </row>
    <row r="322" spans="1:14" x14ac:dyDescent="0.3">
      <c r="A322" t="s">
        <v>335</v>
      </c>
      <c r="B322">
        <v>283</v>
      </c>
      <c r="C322">
        <v>9</v>
      </c>
      <c r="D322" s="1">
        <v>46034.618750000001</v>
      </c>
      <c r="E322">
        <v>299</v>
      </c>
      <c r="F322" t="s">
        <v>12</v>
      </c>
      <c r="G322" t="s">
        <v>10</v>
      </c>
      <c r="H322">
        <v>78</v>
      </c>
      <c r="I322" t="str">
        <f>IFERROR(VLOOKUP(C322, merchants!$A$2:$D$41, 2, FALSE), "Merchant not found")</f>
        <v>Merchant_009</v>
      </c>
      <c r="J322" t="str">
        <f>IFERROR(VLOOKUP(C322, merchants!$A$2:$D$41, 3, FALSE), "Merchant not found")</f>
        <v>ecommerce</v>
      </c>
      <c r="K322" t="str">
        <f>IFERROR(VLOOKUP(C322, merchants!$A$2:$D$41, 4, FALSE), "Merchant not found")</f>
        <v>North</v>
      </c>
      <c r="L322" s="2">
        <f>HLOOKUP(F322, merchants!$F$1:$I$2, 2, FALSE)</f>
        <v>0</v>
      </c>
      <c r="M322" t="str">
        <f t="shared" si="8"/>
        <v>Regular</v>
      </c>
      <c r="N322" s="5">
        <f t="shared" si="9"/>
        <v>46034</v>
      </c>
    </row>
    <row r="323" spans="1:14" x14ac:dyDescent="0.3">
      <c r="A323" t="s">
        <v>336</v>
      </c>
      <c r="B323">
        <v>159</v>
      </c>
      <c r="C323">
        <v>26</v>
      </c>
      <c r="D323" s="1">
        <v>46051.086111111108</v>
      </c>
      <c r="E323">
        <v>99</v>
      </c>
      <c r="F323" t="s">
        <v>12</v>
      </c>
      <c r="G323" t="s">
        <v>10</v>
      </c>
      <c r="H323">
        <v>91</v>
      </c>
      <c r="I323" t="str">
        <f>IFERROR(VLOOKUP(C323, merchants!$A$2:$D$41, 2, FALSE), "Merchant not found")</f>
        <v>Merchant_026</v>
      </c>
      <c r="J323" t="str">
        <f>IFERROR(VLOOKUP(C323, merchants!$A$2:$D$41, 3, FALSE), "Merchant not found")</f>
        <v>food_delivery</v>
      </c>
      <c r="K323" t="str">
        <f>IFERROR(VLOOKUP(C323, merchants!$A$2:$D$41, 4, FALSE), "Merchant not found")</f>
        <v>East</v>
      </c>
      <c r="L323" s="2">
        <f>HLOOKUP(F323, merchants!$F$1:$I$2, 2, FALSE)</f>
        <v>0</v>
      </c>
      <c r="M323" t="str">
        <f t="shared" ref="M323:M386" si="10">IF(AND(SUMIFS($E:$E, $C:$C, C323, $D:$D, "&gt;="&amp;INT(D323), $D:$D, "&lt;"&amp;INT(D323)+1) &gt; 5000, K323 &lt;&gt; "East"), "High-Value Day", "Regular")</f>
        <v>Regular</v>
      </c>
      <c r="N323" s="5">
        <f t="shared" ref="N323:N386" si="11">INT(D323)</f>
        <v>46051</v>
      </c>
    </row>
    <row r="324" spans="1:14" x14ac:dyDescent="0.3">
      <c r="A324" t="s">
        <v>337</v>
      </c>
      <c r="B324">
        <v>211</v>
      </c>
      <c r="C324">
        <v>27</v>
      </c>
      <c r="D324" s="1">
        <v>46046.647916666669</v>
      </c>
      <c r="E324">
        <v>99</v>
      </c>
      <c r="F324" t="s">
        <v>9</v>
      </c>
      <c r="G324" t="s">
        <v>10</v>
      </c>
      <c r="H324">
        <v>73</v>
      </c>
      <c r="I324" t="str">
        <f>IFERROR(VLOOKUP(C324, merchants!$A$2:$D$41, 2, FALSE), "Merchant not found")</f>
        <v>Merchant_027</v>
      </c>
      <c r="J324" t="str">
        <f>IFERROR(VLOOKUP(C324, merchants!$A$2:$D$41, 3, FALSE), "Merchant not found")</f>
        <v>ecommerce</v>
      </c>
      <c r="K324" t="str">
        <f>IFERROR(VLOOKUP(C324, merchants!$A$2:$D$41, 4, FALSE), "Merchant not found")</f>
        <v>North</v>
      </c>
      <c r="L324" s="2">
        <f>HLOOKUP(F324, merchants!$F$1:$I$2, 2, FALSE)</f>
        <v>1.4999999999999999E-2</v>
      </c>
      <c r="M324" t="str">
        <f t="shared" si="10"/>
        <v>Regular</v>
      </c>
      <c r="N324" s="5">
        <f t="shared" si="11"/>
        <v>46046</v>
      </c>
    </row>
    <row r="325" spans="1:14" x14ac:dyDescent="0.3">
      <c r="A325" t="s">
        <v>338</v>
      </c>
      <c r="B325">
        <v>329</v>
      </c>
      <c r="C325">
        <v>5</v>
      </c>
      <c r="D325" s="1">
        <v>46025.180555555555</v>
      </c>
      <c r="E325">
        <v>499</v>
      </c>
      <c r="F325" t="s">
        <v>15</v>
      </c>
      <c r="G325" t="s">
        <v>10</v>
      </c>
      <c r="H325">
        <v>57</v>
      </c>
      <c r="I325" t="str">
        <f>IFERROR(VLOOKUP(C325, merchants!$A$2:$D$41, 2, FALSE), "Merchant not found")</f>
        <v>Merchant_005</v>
      </c>
      <c r="J325" t="str">
        <f>IFERROR(VLOOKUP(C325, merchants!$A$2:$D$41, 3, FALSE), "Merchant not found")</f>
        <v>recharge</v>
      </c>
      <c r="K325" t="str">
        <f>IFERROR(VLOOKUP(C325, merchants!$A$2:$D$41, 4, FALSE), "Merchant not found")</f>
        <v>South</v>
      </c>
      <c r="L325" s="2">
        <f>HLOOKUP(F325, merchants!$F$1:$I$2, 2, FALSE)</f>
        <v>1.7999999999999999E-2</v>
      </c>
      <c r="M325" t="str">
        <f t="shared" si="10"/>
        <v>Regular</v>
      </c>
      <c r="N325" s="5">
        <f t="shared" si="11"/>
        <v>46025</v>
      </c>
    </row>
    <row r="326" spans="1:14" x14ac:dyDescent="0.3">
      <c r="A326" t="s">
        <v>339</v>
      </c>
      <c r="B326">
        <v>177</v>
      </c>
      <c r="C326">
        <v>9</v>
      </c>
      <c r="D326" s="1">
        <v>46037.897916666669</v>
      </c>
      <c r="E326">
        <v>99</v>
      </c>
      <c r="F326" t="s">
        <v>12</v>
      </c>
      <c r="G326" t="s">
        <v>10</v>
      </c>
      <c r="H326">
        <v>99</v>
      </c>
      <c r="I326" t="str">
        <f>IFERROR(VLOOKUP(C326, merchants!$A$2:$D$41, 2, FALSE), "Merchant not found")</f>
        <v>Merchant_009</v>
      </c>
      <c r="J326" t="str">
        <f>IFERROR(VLOOKUP(C326, merchants!$A$2:$D$41, 3, FALSE), "Merchant not found")</f>
        <v>ecommerce</v>
      </c>
      <c r="K326" t="str">
        <f>IFERROR(VLOOKUP(C326, merchants!$A$2:$D$41, 4, FALSE), "Merchant not found")</f>
        <v>North</v>
      </c>
      <c r="L326" s="2">
        <f>HLOOKUP(F326, merchants!$F$1:$I$2, 2, FALSE)</f>
        <v>0</v>
      </c>
      <c r="M326" t="str">
        <f t="shared" si="10"/>
        <v>Regular</v>
      </c>
      <c r="N326" s="5">
        <f t="shared" si="11"/>
        <v>46037</v>
      </c>
    </row>
    <row r="327" spans="1:14" x14ac:dyDescent="0.3">
      <c r="A327" t="s">
        <v>340</v>
      </c>
      <c r="B327">
        <v>94</v>
      </c>
      <c r="C327">
        <v>9</v>
      </c>
      <c r="D327" s="1">
        <v>46040.859027777777</v>
      </c>
      <c r="E327">
        <v>299</v>
      </c>
      <c r="F327" t="s">
        <v>12</v>
      </c>
      <c r="G327" t="s">
        <v>10</v>
      </c>
      <c r="H327">
        <v>55</v>
      </c>
      <c r="I327" t="str">
        <f>IFERROR(VLOOKUP(C327, merchants!$A$2:$D$41, 2, FALSE), "Merchant not found")</f>
        <v>Merchant_009</v>
      </c>
      <c r="J327" t="str">
        <f>IFERROR(VLOOKUP(C327, merchants!$A$2:$D$41, 3, FALSE), "Merchant not found")</f>
        <v>ecommerce</v>
      </c>
      <c r="K327" t="str">
        <f>IFERROR(VLOOKUP(C327, merchants!$A$2:$D$41, 4, FALSE), "Merchant not found")</f>
        <v>North</v>
      </c>
      <c r="L327" s="2">
        <f>HLOOKUP(F327, merchants!$F$1:$I$2, 2, FALSE)</f>
        <v>0</v>
      </c>
      <c r="M327" t="str">
        <f t="shared" si="10"/>
        <v>Regular</v>
      </c>
      <c r="N327" s="5">
        <f t="shared" si="11"/>
        <v>46040</v>
      </c>
    </row>
    <row r="328" spans="1:14" x14ac:dyDescent="0.3">
      <c r="A328" t="s">
        <v>341</v>
      </c>
      <c r="B328">
        <v>64</v>
      </c>
      <c r="C328">
        <v>34</v>
      </c>
      <c r="D328" s="1">
        <v>46039.078472222223</v>
      </c>
      <c r="E328">
        <v>299</v>
      </c>
      <c r="F328" t="s">
        <v>12</v>
      </c>
      <c r="G328" t="s">
        <v>10</v>
      </c>
      <c r="H328">
        <v>19</v>
      </c>
      <c r="I328" t="str">
        <f>IFERROR(VLOOKUP(C328, merchants!$A$2:$D$41, 2, FALSE), "Merchant not found")</f>
        <v>Merchant_034</v>
      </c>
      <c r="J328" t="str">
        <f>IFERROR(VLOOKUP(C328, merchants!$A$2:$D$41, 3, FALSE), "Merchant not found")</f>
        <v>travel</v>
      </c>
      <c r="K328" t="str">
        <f>IFERROR(VLOOKUP(C328, merchants!$A$2:$D$41, 4, FALSE), "Merchant not found")</f>
        <v>South</v>
      </c>
      <c r="L328" s="2">
        <f>HLOOKUP(F328, merchants!$F$1:$I$2, 2, FALSE)</f>
        <v>0</v>
      </c>
      <c r="M328" t="str">
        <f t="shared" si="10"/>
        <v>Regular</v>
      </c>
      <c r="N328" s="5">
        <f t="shared" si="11"/>
        <v>46039</v>
      </c>
    </row>
    <row r="329" spans="1:14" x14ac:dyDescent="0.3">
      <c r="A329" t="s">
        <v>342</v>
      </c>
      <c r="B329">
        <v>166</v>
      </c>
      <c r="C329">
        <v>15</v>
      </c>
      <c r="D329" s="1">
        <v>46032.215277777781</v>
      </c>
      <c r="E329">
        <v>49</v>
      </c>
      <c r="F329" t="s">
        <v>12</v>
      </c>
      <c r="G329" t="s">
        <v>10</v>
      </c>
      <c r="H329">
        <v>44</v>
      </c>
      <c r="I329" t="str">
        <f>IFERROR(VLOOKUP(C329, merchants!$A$2:$D$41, 2, FALSE), "Merchant not found")</f>
        <v>Merchant_015</v>
      </c>
      <c r="J329" t="str">
        <f>IFERROR(VLOOKUP(C329, merchants!$A$2:$D$41, 3, FALSE), "Merchant not found")</f>
        <v>travel</v>
      </c>
      <c r="K329" t="str">
        <f>IFERROR(VLOOKUP(C329, merchants!$A$2:$D$41, 4, FALSE), "Merchant not found")</f>
        <v>North</v>
      </c>
      <c r="L329" s="2">
        <f>HLOOKUP(F329, merchants!$F$1:$I$2, 2, FALSE)</f>
        <v>0</v>
      </c>
      <c r="M329" t="str">
        <f t="shared" si="10"/>
        <v>Regular</v>
      </c>
      <c r="N329" s="5">
        <f t="shared" si="11"/>
        <v>46032</v>
      </c>
    </row>
    <row r="330" spans="1:14" x14ac:dyDescent="0.3">
      <c r="A330" t="s">
        <v>343</v>
      </c>
      <c r="B330">
        <v>41</v>
      </c>
      <c r="C330">
        <v>17</v>
      </c>
      <c r="D330" s="1">
        <v>46039.412499999999</v>
      </c>
      <c r="E330">
        <v>299</v>
      </c>
      <c r="F330" t="s">
        <v>9</v>
      </c>
      <c r="G330" t="s">
        <v>10</v>
      </c>
      <c r="H330">
        <v>25</v>
      </c>
      <c r="I330" t="str">
        <f>IFERROR(VLOOKUP(C330, merchants!$A$2:$D$41, 2, FALSE), "Merchant not found")</f>
        <v>Merchant_017</v>
      </c>
      <c r="J330" t="str">
        <f>IFERROR(VLOOKUP(C330, merchants!$A$2:$D$41, 3, FALSE), "Merchant not found")</f>
        <v>grocery</v>
      </c>
      <c r="K330" t="str">
        <f>IFERROR(VLOOKUP(C330, merchants!$A$2:$D$41, 4, FALSE), "Merchant not found")</f>
        <v>North</v>
      </c>
      <c r="L330" s="2">
        <f>HLOOKUP(F330, merchants!$F$1:$I$2, 2, FALSE)</f>
        <v>1.4999999999999999E-2</v>
      </c>
      <c r="M330" t="str">
        <f t="shared" si="10"/>
        <v>Regular</v>
      </c>
      <c r="N330" s="5">
        <f t="shared" si="11"/>
        <v>46039</v>
      </c>
    </row>
    <row r="331" spans="1:14" x14ac:dyDescent="0.3">
      <c r="A331" t="s">
        <v>344</v>
      </c>
      <c r="B331">
        <v>65</v>
      </c>
      <c r="C331">
        <v>20</v>
      </c>
      <c r="D331" s="1">
        <v>46043.720138888886</v>
      </c>
      <c r="E331">
        <v>99</v>
      </c>
      <c r="F331" t="s">
        <v>24</v>
      </c>
      <c r="G331" t="s">
        <v>10</v>
      </c>
      <c r="H331">
        <v>78</v>
      </c>
      <c r="I331" t="str">
        <f>IFERROR(VLOOKUP(C331, merchants!$A$2:$D$41, 2, FALSE), "Merchant not found")</f>
        <v>Merchant_020</v>
      </c>
      <c r="J331" t="str">
        <f>IFERROR(VLOOKUP(C331, merchants!$A$2:$D$41, 3, FALSE), "Merchant not found")</f>
        <v>food_delivery</v>
      </c>
      <c r="K331" t="str">
        <f>IFERROR(VLOOKUP(C331, merchants!$A$2:$D$41, 4, FALSE), "Merchant not found")</f>
        <v>East</v>
      </c>
      <c r="L331" s="2">
        <f>HLOOKUP(F331, merchants!$F$1:$I$2, 2, FALSE)</f>
        <v>0.02</v>
      </c>
      <c r="M331" t="str">
        <f t="shared" si="10"/>
        <v>Regular</v>
      </c>
      <c r="N331" s="5">
        <f t="shared" si="11"/>
        <v>46043</v>
      </c>
    </row>
    <row r="332" spans="1:14" x14ac:dyDescent="0.3">
      <c r="A332" t="s">
        <v>345</v>
      </c>
      <c r="B332">
        <v>329</v>
      </c>
      <c r="C332">
        <v>11</v>
      </c>
      <c r="D332" s="1">
        <v>46040.105555555558</v>
      </c>
      <c r="E332">
        <v>499</v>
      </c>
      <c r="F332" t="s">
        <v>12</v>
      </c>
      <c r="G332" t="s">
        <v>10</v>
      </c>
      <c r="H332">
        <v>75</v>
      </c>
      <c r="I332" t="str">
        <f>IFERROR(VLOOKUP(C332, merchants!$A$2:$D$41, 2, FALSE), "Merchant not found")</f>
        <v>Merchant_011</v>
      </c>
      <c r="J332" t="str">
        <f>IFERROR(VLOOKUP(C332, merchants!$A$2:$D$41, 3, FALSE), "Merchant not found")</f>
        <v>ecommerce</v>
      </c>
      <c r="K332" t="str">
        <f>IFERROR(VLOOKUP(C332, merchants!$A$2:$D$41, 4, FALSE), "Merchant not found")</f>
        <v>North</v>
      </c>
      <c r="L332" s="2">
        <f>HLOOKUP(F332, merchants!$F$1:$I$2, 2, FALSE)</f>
        <v>0</v>
      </c>
      <c r="M332" t="str">
        <f t="shared" si="10"/>
        <v>Regular</v>
      </c>
      <c r="N332" s="5">
        <f t="shared" si="11"/>
        <v>46040</v>
      </c>
    </row>
    <row r="333" spans="1:14" x14ac:dyDescent="0.3">
      <c r="A333" t="s">
        <v>346</v>
      </c>
      <c r="B333">
        <v>338</v>
      </c>
      <c r="C333">
        <v>40</v>
      </c>
      <c r="D333" s="1">
        <v>46041.173611111109</v>
      </c>
      <c r="E333">
        <v>149</v>
      </c>
      <c r="F333" t="s">
        <v>12</v>
      </c>
      <c r="G333" t="s">
        <v>10</v>
      </c>
      <c r="H333">
        <v>92</v>
      </c>
      <c r="I333" t="str">
        <f>IFERROR(VLOOKUP(C333, merchants!$A$2:$D$41, 2, FALSE), "Merchant not found")</f>
        <v>Merchant_040</v>
      </c>
      <c r="J333" t="str">
        <f>IFERROR(VLOOKUP(C333, merchants!$A$2:$D$41, 3, FALSE), "Merchant not found")</f>
        <v>entertainment</v>
      </c>
      <c r="K333" t="str">
        <f>IFERROR(VLOOKUP(C333, merchants!$A$2:$D$41, 4, FALSE), "Merchant not found")</f>
        <v>South</v>
      </c>
      <c r="L333" s="2">
        <f>HLOOKUP(F333, merchants!$F$1:$I$2, 2, FALSE)</f>
        <v>0</v>
      </c>
      <c r="M333" t="str">
        <f t="shared" si="10"/>
        <v>Regular</v>
      </c>
      <c r="N333" s="5">
        <f t="shared" si="11"/>
        <v>46041</v>
      </c>
    </row>
    <row r="334" spans="1:14" x14ac:dyDescent="0.3">
      <c r="A334" t="s">
        <v>347</v>
      </c>
      <c r="B334">
        <v>289</v>
      </c>
      <c r="C334">
        <v>3</v>
      </c>
      <c r="D334" s="1">
        <v>46051.806250000001</v>
      </c>
      <c r="E334">
        <v>49</v>
      </c>
      <c r="F334" t="s">
        <v>15</v>
      </c>
      <c r="G334" t="s">
        <v>10</v>
      </c>
      <c r="H334">
        <v>3</v>
      </c>
      <c r="I334" t="str">
        <f>IFERROR(VLOOKUP(C334, merchants!$A$2:$D$41, 2, FALSE), "Merchant not found")</f>
        <v>Merchant_003</v>
      </c>
      <c r="J334" t="str">
        <f>IFERROR(VLOOKUP(C334, merchants!$A$2:$D$41, 3, FALSE), "Merchant not found")</f>
        <v>grocery</v>
      </c>
      <c r="K334" t="str">
        <f>IFERROR(VLOOKUP(C334, merchants!$A$2:$D$41, 4, FALSE), "Merchant not found")</f>
        <v>East</v>
      </c>
      <c r="L334" s="2">
        <f>HLOOKUP(F334, merchants!$F$1:$I$2, 2, FALSE)</f>
        <v>1.7999999999999999E-2</v>
      </c>
      <c r="M334" t="str">
        <f t="shared" si="10"/>
        <v>Regular</v>
      </c>
      <c r="N334" s="5">
        <f t="shared" si="11"/>
        <v>46051</v>
      </c>
    </row>
    <row r="335" spans="1:14" x14ac:dyDescent="0.3">
      <c r="A335" t="s">
        <v>348</v>
      </c>
      <c r="B335">
        <v>296</v>
      </c>
      <c r="C335">
        <v>17</v>
      </c>
      <c r="D335" s="1">
        <v>46025.070138888892</v>
      </c>
      <c r="E335">
        <v>99</v>
      </c>
      <c r="F335" t="s">
        <v>12</v>
      </c>
      <c r="G335" t="s">
        <v>10</v>
      </c>
      <c r="H335">
        <v>83</v>
      </c>
      <c r="I335" t="str">
        <f>IFERROR(VLOOKUP(C335, merchants!$A$2:$D$41, 2, FALSE), "Merchant not found")</f>
        <v>Merchant_017</v>
      </c>
      <c r="J335" t="str">
        <f>IFERROR(VLOOKUP(C335, merchants!$A$2:$D$41, 3, FALSE), "Merchant not found")</f>
        <v>grocery</v>
      </c>
      <c r="K335" t="str">
        <f>IFERROR(VLOOKUP(C335, merchants!$A$2:$D$41, 4, FALSE), "Merchant not found")</f>
        <v>North</v>
      </c>
      <c r="L335" s="2">
        <f>HLOOKUP(F335, merchants!$F$1:$I$2, 2, FALSE)</f>
        <v>0</v>
      </c>
      <c r="M335" t="str">
        <f t="shared" si="10"/>
        <v>Regular</v>
      </c>
      <c r="N335" s="5">
        <f t="shared" si="11"/>
        <v>46025</v>
      </c>
    </row>
    <row r="336" spans="1:14" x14ac:dyDescent="0.3">
      <c r="A336" t="s">
        <v>349</v>
      </c>
      <c r="B336">
        <v>317</v>
      </c>
      <c r="C336">
        <v>2</v>
      </c>
      <c r="D336" s="1">
        <v>46029.768055555556</v>
      </c>
      <c r="E336">
        <v>499</v>
      </c>
      <c r="F336" t="s">
        <v>24</v>
      </c>
      <c r="G336" t="s">
        <v>10</v>
      </c>
      <c r="H336">
        <v>63</v>
      </c>
      <c r="I336" t="str">
        <f>IFERROR(VLOOKUP(C336, merchants!$A$2:$D$41, 2, FALSE), "Merchant not found")</f>
        <v>Merchant_002</v>
      </c>
      <c r="J336" t="str">
        <f>IFERROR(VLOOKUP(C336, merchants!$A$2:$D$41, 3, FALSE), "Merchant not found")</f>
        <v>grocery</v>
      </c>
      <c r="K336" t="str">
        <f>IFERROR(VLOOKUP(C336, merchants!$A$2:$D$41, 4, FALSE), "Merchant not found")</f>
        <v>West</v>
      </c>
      <c r="L336" s="2">
        <f>HLOOKUP(F336, merchants!$F$1:$I$2, 2, FALSE)</f>
        <v>0.02</v>
      </c>
      <c r="M336" t="str">
        <f t="shared" si="10"/>
        <v>Regular</v>
      </c>
      <c r="N336" s="5">
        <f t="shared" si="11"/>
        <v>46029</v>
      </c>
    </row>
    <row r="337" spans="1:14" x14ac:dyDescent="0.3">
      <c r="A337" t="s">
        <v>350</v>
      </c>
      <c r="B337">
        <v>149</v>
      </c>
      <c r="C337">
        <v>20</v>
      </c>
      <c r="D337" s="1">
        <v>46051.856944444444</v>
      </c>
      <c r="E337">
        <v>499</v>
      </c>
      <c r="F337" t="s">
        <v>24</v>
      </c>
      <c r="G337" t="s">
        <v>10</v>
      </c>
      <c r="H337">
        <v>61</v>
      </c>
      <c r="I337" t="str">
        <f>IFERROR(VLOOKUP(C337, merchants!$A$2:$D$41, 2, FALSE), "Merchant not found")</f>
        <v>Merchant_020</v>
      </c>
      <c r="J337" t="str">
        <f>IFERROR(VLOOKUP(C337, merchants!$A$2:$D$41, 3, FALSE), "Merchant not found")</f>
        <v>food_delivery</v>
      </c>
      <c r="K337" t="str">
        <f>IFERROR(VLOOKUP(C337, merchants!$A$2:$D$41, 4, FALSE), "Merchant not found")</f>
        <v>East</v>
      </c>
      <c r="L337" s="2">
        <f>HLOOKUP(F337, merchants!$F$1:$I$2, 2, FALSE)</f>
        <v>0.02</v>
      </c>
      <c r="M337" t="str">
        <f t="shared" si="10"/>
        <v>Regular</v>
      </c>
      <c r="N337" s="5">
        <f t="shared" si="11"/>
        <v>46051</v>
      </c>
    </row>
    <row r="338" spans="1:14" x14ac:dyDescent="0.3">
      <c r="A338" t="s">
        <v>351</v>
      </c>
      <c r="B338">
        <v>153</v>
      </c>
      <c r="C338">
        <v>30</v>
      </c>
      <c r="D338" s="1">
        <v>46030.892361111109</v>
      </c>
      <c r="E338">
        <v>299</v>
      </c>
      <c r="F338" t="s">
        <v>12</v>
      </c>
      <c r="G338" t="s">
        <v>10</v>
      </c>
      <c r="H338">
        <v>9</v>
      </c>
      <c r="I338" t="str">
        <f>IFERROR(VLOOKUP(C338, merchants!$A$2:$D$41, 2, FALSE), "Merchant not found")</f>
        <v>Merchant_030</v>
      </c>
      <c r="J338" t="str">
        <f>IFERROR(VLOOKUP(C338, merchants!$A$2:$D$41, 3, FALSE), "Merchant not found")</f>
        <v>travel</v>
      </c>
      <c r="K338" t="str">
        <f>IFERROR(VLOOKUP(C338, merchants!$A$2:$D$41, 4, FALSE), "Merchant not found")</f>
        <v>West</v>
      </c>
      <c r="L338" s="2">
        <f>HLOOKUP(F338, merchants!$F$1:$I$2, 2, FALSE)</f>
        <v>0</v>
      </c>
      <c r="M338" t="str">
        <f t="shared" si="10"/>
        <v>Regular</v>
      </c>
      <c r="N338" s="5">
        <f t="shared" si="11"/>
        <v>46030</v>
      </c>
    </row>
    <row r="339" spans="1:14" x14ac:dyDescent="0.3">
      <c r="A339" t="s">
        <v>352</v>
      </c>
      <c r="B339">
        <v>226</v>
      </c>
      <c r="C339">
        <v>27</v>
      </c>
      <c r="D339" s="1">
        <v>46045.048611111109</v>
      </c>
      <c r="E339">
        <v>2999</v>
      </c>
      <c r="F339" t="s">
        <v>12</v>
      </c>
      <c r="G339" t="s">
        <v>38</v>
      </c>
      <c r="H339">
        <v>61</v>
      </c>
      <c r="I339" t="str">
        <f>IFERROR(VLOOKUP(C339, merchants!$A$2:$D$41, 2, FALSE), "Merchant not found")</f>
        <v>Merchant_027</v>
      </c>
      <c r="J339" t="str">
        <f>IFERROR(VLOOKUP(C339, merchants!$A$2:$D$41, 3, FALSE), "Merchant not found")</f>
        <v>ecommerce</v>
      </c>
      <c r="K339" t="str">
        <f>IFERROR(VLOOKUP(C339, merchants!$A$2:$D$41, 4, FALSE), "Merchant not found")</f>
        <v>North</v>
      </c>
      <c r="L339" s="2">
        <f>HLOOKUP(F339, merchants!$F$1:$I$2, 2, FALSE)</f>
        <v>0</v>
      </c>
      <c r="M339" t="str">
        <f t="shared" si="10"/>
        <v>Regular</v>
      </c>
      <c r="N339" s="5">
        <f t="shared" si="11"/>
        <v>46045</v>
      </c>
    </row>
    <row r="340" spans="1:14" x14ac:dyDescent="0.3">
      <c r="A340" t="s">
        <v>353</v>
      </c>
      <c r="B340">
        <v>311</v>
      </c>
      <c r="C340">
        <v>10</v>
      </c>
      <c r="D340" s="1">
        <v>46037.26458333333</v>
      </c>
      <c r="E340">
        <v>2999</v>
      </c>
      <c r="F340" t="s">
        <v>12</v>
      </c>
      <c r="G340" t="s">
        <v>10</v>
      </c>
      <c r="H340">
        <v>40</v>
      </c>
      <c r="I340" t="str">
        <f>IFERROR(VLOOKUP(C340, merchants!$A$2:$D$41, 2, FALSE), "Merchant not found")</f>
        <v>Merchant_010</v>
      </c>
      <c r="J340" t="str">
        <f>IFERROR(VLOOKUP(C340, merchants!$A$2:$D$41, 3, FALSE), "Merchant not found")</f>
        <v>grocery</v>
      </c>
      <c r="K340" t="str">
        <f>IFERROR(VLOOKUP(C340, merchants!$A$2:$D$41, 4, FALSE), "Merchant not found")</f>
        <v>West</v>
      </c>
      <c r="L340" s="2">
        <f>HLOOKUP(F340, merchants!$F$1:$I$2, 2, FALSE)</f>
        <v>0</v>
      </c>
      <c r="M340" t="str">
        <f t="shared" si="10"/>
        <v>Regular</v>
      </c>
      <c r="N340" s="5">
        <f t="shared" si="11"/>
        <v>46037</v>
      </c>
    </row>
    <row r="341" spans="1:14" x14ac:dyDescent="0.3">
      <c r="A341" t="s">
        <v>354</v>
      </c>
      <c r="B341">
        <v>177</v>
      </c>
      <c r="C341">
        <v>26</v>
      </c>
      <c r="D341" s="1">
        <v>46050.930555555555</v>
      </c>
      <c r="E341">
        <v>1499</v>
      </c>
      <c r="F341" t="s">
        <v>12</v>
      </c>
      <c r="G341" t="s">
        <v>10</v>
      </c>
      <c r="H341">
        <v>16</v>
      </c>
      <c r="I341" t="str">
        <f>IFERROR(VLOOKUP(C341, merchants!$A$2:$D$41, 2, FALSE), "Merchant not found")</f>
        <v>Merchant_026</v>
      </c>
      <c r="J341" t="str">
        <f>IFERROR(VLOOKUP(C341, merchants!$A$2:$D$41, 3, FALSE), "Merchant not found")</f>
        <v>food_delivery</v>
      </c>
      <c r="K341" t="str">
        <f>IFERROR(VLOOKUP(C341, merchants!$A$2:$D$41, 4, FALSE), "Merchant not found")</f>
        <v>East</v>
      </c>
      <c r="L341" s="2">
        <f>HLOOKUP(F341, merchants!$F$1:$I$2, 2, FALSE)</f>
        <v>0</v>
      </c>
      <c r="M341" t="str">
        <f t="shared" si="10"/>
        <v>Regular</v>
      </c>
      <c r="N341" s="5">
        <f t="shared" si="11"/>
        <v>46050</v>
      </c>
    </row>
    <row r="342" spans="1:14" x14ac:dyDescent="0.3">
      <c r="A342" t="s">
        <v>355</v>
      </c>
      <c r="B342">
        <v>288</v>
      </c>
      <c r="C342">
        <v>7</v>
      </c>
      <c r="D342" s="1">
        <v>46047.480555555558</v>
      </c>
      <c r="E342">
        <v>99</v>
      </c>
      <c r="F342" t="s">
        <v>15</v>
      </c>
      <c r="G342" t="s">
        <v>10</v>
      </c>
      <c r="H342">
        <v>40</v>
      </c>
      <c r="I342" t="str">
        <f>IFERROR(VLOOKUP(C342, merchants!$A$2:$D$41, 2, FALSE), "Merchant not found")</f>
        <v>Merchant_007</v>
      </c>
      <c r="J342" t="str">
        <f>IFERROR(VLOOKUP(C342, merchants!$A$2:$D$41, 3, FALSE), "Merchant not found")</f>
        <v>food_delivery</v>
      </c>
      <c r="K342" t="str">
        <f>IFERROR(VLOOKUP(C342, merchants!$A$2:$D$41, 4, FALSE), "Merchant not found")</f>
        <v>East</v>
      </c>
      <c r="L342" s="2">
        <f>HLOOKUP(F342, merchants!$F$1:$I$2, 2, FALSE)</f>
        <v>1.7999999999999999E-2</v>
      </c>
      <c r="M342" t="str">
        <f t="shared" si="10"/>
        <v>Regular</v>
      </c>
      <c r="N342" s="5">
        <f t="shared" si="11"/>
        <v>46047</v>
      </c>
    </row>
    <row r="343" spans="1:14" x14ac:dyDescent="0.3">
      <c r="A343" t="s">
        <v>356</v>
      </c>
      <c r="B343">
        <v>137</v>
      </c>
      <c r="C343">
        <v>29</v>
      </c>
      <c r="D343" s="1">
        <v>46030.588194444441</v>
      </c>
      <c r="E343">
        <v>2999</v>
      </c>
      <c r="F343" t="s">
        <v>12</v>
      </c>
      <c r="G343" t="s">
        <v>25</v>
      </c>
      <c r="H343">
        <v>31</v>
      </c>
      <c r="I343" t="str">
        <f>IFERROR(VLOOKUP(C343, merchants!$A$2:$D$41, 2, FALSE), "Merchant not found")</f>
        <v>Merchant_029</v>
      </c>
      <c r="J343" t="str">
        <f>IFERROR(VLOOKUP(C343, merchants!$A$2:$D$41, 3, FALSE), "Merchant not found")</f>
        <v>ecommerce</v>
      </c>
      <c r="K343" t="str">
        <f>IFERROR(VLOOKUP(C343, merchants!$A$2:$D$41, 4, FALSE), "Merchant not found")</f>
        <v>North</v>
      </c>
      <c r="L343" s="2">
        <f>HLOOKUP(F343, merchants!$F$1:$I$2, 2, FALSE)</f>
        <v>0</v>
      </c>
      <c r="M343" t="str">
        <f t="shared" si="10"/>
        <v>Regular</v>
      </c>
      <c r="N343" s="5">
        <f t="shared" si="11"/>
        <v>46030</v>
      </c>
    </row>
    <row r="344" spans="1:14" x14ac:dyDescent="0.3">
      <c r="A344" t="s">
        <v>357</v>
      </c>
      <c r="B344">
        <v>149</v>
      </c>
      <c r="C344">
        <v>25</v>
      </c>
      <c r="D344" s="1">
        <v>46027.127083333333</v>
      </c>
      <c r="E344">
        <v>1499</v>
      </c>
      <c r="F344" t="s">
        <v>12</v>
      </c>
      <c r="G344" t="s">
        <v>10</v>
      </c>
      <c r="H344">
        <v>78</v>
      </c>
      <c r="I344" t="str">
        <f>IFERROR(VLOOKUP(C344, merchants!$A$2:$D$41, 2, FALSE), "Merchant not found")</f>
        <v>Merchant_025</v>
      </c>
      <c r="J344" t="str">
        <f>IFERROR(VLOOKUP(C344, merchants!$A$2:$D$41, 3, FALSE), "Merchant not found")</f>
        <v>travel</v>
      </c>
      <c r="K344" t="str">
        <f>IFERROR(VLOOKUP(C344, merchants!$A$2:$D$41, 4, FALSE), "Merchant not found")</f>
        <v>South</v>
      </c>
      <c r="L344" s="2">
        <f>HLOOKUP(F344, merchants!$F$1:$I$2, 2, FALSE)</f>
        <v>0</v>
      </c>
      <c r="M344" t="str">
        <f t="shared" si="10"/>
        <v>Regular</v>
      </c>
      <c r="N344" s="5">
        <f t="shared" si="11"/>
        <v>46027</v>
      </c>
    </row>
    <row r="345" spans="1:14" x14ac:dyDescent="0.3">
      <c r="A345" t="s">
        <v>358</v>
      </c>
      <c r="B345">
        <v>82</v>
      </c>
      <c r="C345">
        <v>21</v>
      </c>
      <c r="D345" s="1">
        <v>46036.329861111109</v>
      </c>
      <c r="E345">
        <v>49</v>
      </c>
      <c r="F345" t="s">
        <v>9</v>
      </c>
      <c r="G345" t="s">
        <v>10</v>
      </c>
      <c r="H345">
        <v>73</v>
      </c>
      <c r="I345" t="str">
        <f>IFERROR(VLOOKUP(C345, merchants!$A$2:$D$41, 2, FALSE), "Merchant not found")</f>
        <v>Merchant_021</v>
      </c>
      <c r="J345" t="str">
        <f>IFERROR(VLOOKUP(C345, merchants!$A$2:$D$41, 3, FALSE), "Merchant not found")</f>
        <v>food_delivery</v>
      </c>
      <c r="K345" t="str">
        <f>IFERROR(VLOOKUP(C345, merchants!$A$2:$D$41, 4, FALSE), "Merchant not found")</f>
        <v>East</v>
      </c>
      <c r="L345" s="2">
        <f>HLOOKUP(F345, merchants!$F$1:$I$2, 2, FALSE)</f>
        <v>1.4999999999999999E-2</v>
      </c>
      <c r="M345" t="str">
        <f t="shared" si="10"/>
        <v>Regular</v>
      </c>
      <c r="N345" s="5">
        <f t="shared" si="11"/>
        <v>46036</v>
      </c>
    </row>
    <row r="346" spans="1:14" x14ac:dyDescent="0.3">
      <c r="A346" t="s">
        <v>359</v>
      </c>
      <c r="B346">
        <v>82</v>
      </c>
      <c r="C346">
        <v>32</v>
      </c>
      <c r="D346" s="1">
        <v>46046.425000000003</v>
      </c>
      <c r="E346">
        <v>49</v>
      </c>
      <c r="F346" t="s">
        <v>12</v>
      </c>
      <c r="G346" t="s">
        <v>10</v>
      </c>
      <c r="H346">
        <v>65</v>
      </c>
      <c r="I346" t="str">
        <f>IFERROR(VLOOKUP(C346, merchants!$A$2:$D$41, 2, FALSE), "Merchant not found")</f>
        <v>Merchant_032</v>
      </c>
      <c r="J346" t="str">
        <f>IFERROR(VLOOKUP(C346, merchants!$A$2:$D$41, 3, FALSE), "Merchant not found")</f>
        <v>food_delivery</v>
      </c>
      <c r="K346" t="str">
        <f>IFERROR(VLOOKUP(C346, merchants!$A$2:$D$41, 4, FALSE), "Merchant not found")</f>
        <v>West</v>
      </c>
      <c r="L346" s="2">
        <f>HLOOKUP(F346, merchants!$F$1:$I$2, 2, FALSE)</f>
        <v>0</v>
      </c>
      <c r="M346" t="str">
        <f t="shared" si="10"/>
        <v>Regular</v>
      </c>
      <c r="N346" s="5">
        <f t="shared" si="11"/>
        <v>46046</v>
      </c>
    </row>
    <row r="347" spans="1:14" x14ac:dyDescent="0.3">
      <c r="A347" t="s">
        <v>360</v>
      </c>
      <c r="B347">
        <v>158</v>
      </c>
      <c r="C347">
        <v>32</v>
      </c>
      <c r="D347" s="1">
        <v>46037.663888888892</v>
      </c>
      <c r="E347">
        <v>99</v>
      </c>
      <c r="F347" t="s">
        <v>9</v>
      </c>
      <c r="G347" t="s">
        <v>10</v>
      </c>
      <c r="H347">
        <v>2</v>
      </c>
      <c r="I347" t="str">
        <f>IFERROR(VLOOKUP(C347, merchants!$A$2:$D$41, 2, FALSE), "Merchant not found")</f>
        <v>Merchant_032</v>
      </c>
      <c r="J347" t="str">
        <f>IFERROR(VLOOKUP(C347, merchants!$A$2:$D$41, 3, FALSE), "Merchant not found")</f>
        <v>food_delivery</v>
      </c>
      <c r="K347" t="str">
        <f>IFERROR(VLOOKUP(C347, merchants!$A$2:$D$41, 4, FALSE), "Merchant not found")</f>
        <v>West</v>
      </c>
      <c r="L347" s="2">
        <f>HLOOKUP(F347, merchants!$F$1:$I$2, 2, FALSE)</f>
        <v>1.4999999999999999E-2</v>
      </c>
      <c r="M347" t="str">
        <f t="shared" si="10"/>
        <v>Regular</v>
      </c>
      <c r="N347" s="5">
        <f t="shared" si="11"/>
        <v>46037</v>
      </c>
    </row>
    <row r="348" spans="1:14" x14ac:dyDescent="0.3">
      <c r="A348" t="s">
        <v>361</v>
      </c>
      <c r="B348">
        <v>235</v>
      </c>
      <c r="C348">
        <v>16</v>
      </c>
      <c r="D348" s="1">
        <v>46025.522222222222</v>
      </c>
      <c r="E348">
        <v>99</v>
      </c>
      <c r="F348" t="s">
        <v>12</v>
      </c>
      <c r="G348" t="s">
        <v>10</v>
      </c>
      <c r="H348">
        <v>27</v>
      </c>
      <c r="I348" t="str">
        <f>IFERROR(VLOOKUP(C348, merchants!$A$2:$D$41, 2, FALSE), "Merchant not found")</f>
        <v>Merchant_016</v>
      </c>
      <c r="J348" t="str">
        <f>IFERROR(VLOOKUP(C348, merchants!$A$2:$D$41, 3, FALSE), "Merchant not found")</f>
        <v>bill_payment</v>
      </c>
      <c r="K348" t="str">
        <f>IFERROR(VLOOKUP(C348, merchants!$A$2:$D$41, 4, FALSE), "Merchant not found")</f>
        <v>West</v>
      </c>
      <c r="L348" s="2">
        <f>HLOOKUP(F348, merchants!$F$1:$I$2, 2, FALSE)</f>
        <v>0</v>
      </c>
      <c r="M348" t="str">
        <f t="shared" si="10"/>
        <v>Regular</v>
      </c>
      <c r="N348" s="5">
        <f t="shared" si="11"/>
        <v>46025</v>
      </c>
    </row>
    <row r="349" spans="1:14" x14ac:dyDescent="0.3">
      <c r="A349" t="s">
        <v>362</v>
      </c>
      <c r="B349">
        <v>26</v>
      </c>
      <c r="C349">
        <v>19</v>
      </c>
      <c r="D349" s="1">
        <v>46041.460416666669</v>
      </c>
      <c r="E349">
        <v>99</v>
      </c>
      <c r="F349" t="s">
        <v>9</v>
      </c>
      <c r="G349" t="s">
        <v>10</v>
      </c>
      <c r="H349">
        <v>63</v>
      </c>
      <c r="I349" t="str">
        <f>IFERROR(VLOOKUP(C349, merchants!$A$2:$D$41, 2, FALSE), "Merchant not found")</f>
        <v>Merchant_019</v>
      </c>
      <c r="J349" t="str">
        <f>IFERROR(VLOOKUP(C349, merchants!$A$2:$D$41, 3, FALSE), "Merchant not found")</f>
        <v>grocery</v>
      </c>
      <c r="K349" t="str">
        <f>IFERROR(VLOOKUP(C349, merchants!$A$2:$D$41, 4, FALSE), "Merchant not found")</f>
        <v>North</v>
      </c>
      <c r="L349" s="2">
        <f>HLOOKUP(F349, merchants!$F$1:$I$2, 2, FALSE)</f>
        <v>1.4999999999999999E-2</v>
      </c>
      <c r="M349" t="str">
        <f t="shared" si="10"/>
        <v>Regular</v>
      </c>
      <c r="N349" s="5">
        <f t="shared" si="11"/>
        <v>46041</v>
      </c>
    </row>
    <row r="350" spans="1:14" x14ac:dyDescent="0.3">
      <c r="A350" t="s">
        <v>363</v>
      </c>
      <c r="B350">
        <v>241</v>
      </c>
      <c r="C350">
        <v>19</v>
      </c>
      <c r="D350" s="1">
        <v>46042.863194444442</v>
      </c>
      <c r="E350">
        <v>299</v>
      </c>
      <c r="F350" t="s">
        <v>12</v>
      </c>
      <c r="G350" t="s">
        <v>10</v>
      </c>
      <c r="H350">
        <v>68</v>
      </c>
      <c r="I350" t="str">
        <f>IFERROR(VLOOKUP(C350, merchants!$A$2:$D$41, 2, FALSE), "Merchant not found")</f>
        <v>Merchant_019</v>
      </c>
      <c r="J350" t="str">
        <f>IFERROR(VLOOKUP(C350, merchants!$A$2:$D$41, 3, FALSE), "Merchant not found")</f>
        <v>grocery</v>
      </c>
      <c r="K350" t="str">
        <f>IFERROR(VLOOKUP(C350, merchants!$A$2:$D$41, 4, FALSE), "Merchant not found")</f>
        <v>North</v>
      </c>
      <c r="L350" s="2">
        <f>HLOOKUP(F350, merchants!$F$1:$I$2, 2, FALSE)</f>
        <v>0</v>
      </c>
      <c r="M350" t="str">
        <f t="shared" si="10"/>
        <v>Regular</v>
      </c>
      <c r="N350" s="5">
        <f t="shared" si="11"/>
        <v>46042</v>
      </c>
    </row>
    <row r="351" spans="1:14" x14ac:dyDescent="0.3">
      <c r="A351" t="s">
        <v>364</v>
      </c>
      <c r="B351">
        <v>69</v>
      </c>
      <c r="C351">
        <v>17</v>
      </c>
      <c r="D351" s="1">
        <v>46023.143750000003</v>
      </c>
      <c r="E351">
        <v>1499</v>
      </c>
      <c r="F351" t="s">
        <v>12</v>
      </c>
      <c r="G351" t="s">
        <v>10</v>
      </c>
      <c r="H351">
        <v>93</v>
      </c>
      <c r="I351" t="str">
        <f>IFERROR(VLOOKUP(C351, merchants!$A$2:$D$41, 2, FALSE), "Merchant not found")</f>
        <v>Merchant_017</v>
      </c>
      <c r="J351" t="str">
        <f>IFERROR(VLOOKUP(C351, merchants!$A$2:$D$41, 3, FALSE), "Merchant not found")</f>
        <v>grocery</v>
      </c>
      <c r="K351" t="str">
        <f>IFERROR(VLOOKUP(C351, merchants!$A$2:$D$41, 4, FALSE), "Merchant not found")</f>
        <v>North</v>
      </c>
      <c r="L351" s="2">
        <f>HLOOKUP(F351, merchants!$F$1:$I$2, 2, FALSE)</f>
        <v>0</v>
      </c>
      <c r="M351" t="str">
        <f t="shared" si="10"/>
        <v>Regular</v>
      </c>
      <c r="N351" s="5">
        <f t="shared" si="11"/>
        <v>46023</v>
      </c>
    </row>
    <row r="352" spans="1:14" x14ac:dyDescent="0.3">
      <c r="A352" t="s">
        <v>365</v>
      </c>
      <c r="B352">
        <v>24</v>
      </c>
      <c r="C352">
        <v>26</v>
      </c>
      <c r="D352" s="1">
        <v>46034.515972222223</v>
      </c>
      <c r="E352">
        <v>299</v>
      </c>
      <c r="F352" t="s">
        <v>15</v>
      </c>
      <c r="G352" t="s">
        <v>10</v>
      </c>
      <c r="H352">
        <v>6</v>
      </c>
      <c r="I352" t="str">
        <f>IFERROR(VLOOKUP(C352, merchants!$A$2:$D$41, 2, FALSE), "Merchant not found")</f>
        <v>Merchant_026</v>
      </c>
      <c r="J352" t="str">
        <f>IFERROR(VLOOKUP(C352, merchants!$A$2:$D$41, 3, FALSE), "Merchant not found")</f>
        <v>food_delivery</v>
      </c>
      <c r="K352" t="str">
        <f>IFERROR(VLOOKUP(C352, merchants!$A$2:$D$41, 4, FALSE), "Merchant not found")</f>
        <v>East</v>
      </c>
      <c r="L352" s="2">
        <f>HLOOKUP(F352, merchants!$F$1:$I$2, 2, FALSE)</f>
        <v>1.7999999999999999E-2</v>
      </c>
      <c r="M352" t="str">
        <f t="shared" si="10"/>
        <v>Regular</v>
      </c>
      <c r="N352" s="5">
        <f t="shared" si="11"/>
        <v>46034</v>
      </c>
    </row>
    <row r="353" spans="1:14" x14ac:dyDescent="0.3">
      <c r="A353" t="s">
        <v>366</v>
      </c>
      <c r="B353">
        <v>186</v>
      </c>
      <c r="C353">
        <v>36</v>
      </c>
      <c r="D353" s="1">
        <v>46041.716666666667</v>
      </c>
      <c r="E353">
        <v>4999</v>
      </c>
      <c r="F353" t="s">
        <v>12</v>
      </c>
      <c r="G353" t="s">
        <v>10</v>
      </c>
      <c r="H353">
        <v>36</v>
      </c>
      <c r="I353" t="str">
        <f>IFERROR(VLOOKUP(C353, merchants!$A$2:$D$41, 2, FALSE), "Merchant not found")</f>
        <v>Merchant_036</v>
      </c>
      <c r="J353" t="str">
        <f>IFERROR(VLOOKUP(C353, merchants!$A$2:$D$41, 3, FALSE), "Merchant not found")</f>
        <v>entertainment</v>
      </c>
      <c r="K353" t="str">
        <f>IFERROR(VLOOKUP(C353, merchants!$A$2:$D$41, 4, FALSE), "Merchant not found")</f>
        <v>East</v>
      </c>
      <c r="L353" s="2">
        <f>HLOOKUP(F353, merchants!$F$1:$I$2, 2, FALSE)</f>
        <v>0</v>
      </c>
      <c r="M353" t="str">
        <f t="shared" si="10"/>
        <v>Regular</v>
      </c>
      <c r="N353" s="5">
        <f t="shared" si="11"/>
        <v>46041</v>
      </c>
    </row>
    <row r="354" spans="1:14" x14ac:dyDescent="0.3">
      <c r="A354" t="s">
        <v>367</v>
      </c>
      <c r="B354">
        <v>231</v>
      </c>
      <c r="C354">
        <v>36</v>
      </c>
      <c r="D354" s="1">
        <v>46025.522222222222</v>
      </c>
      <c r="E354">
        <v>149</v>
      </c>
      <c r="F354" t="s">
        <v>12</v>
      </c>
      <c r="G354" t="s">
        <v>10</v>
      </c>
      <c r="H354">
        <v>35</v>
      </c>
      <c r="I354" t="str">
        <f>IFERROR(VLOOKUP(C354, merchants!$A$2:$D$41, 2, FALSE), "Merchant not found")</f>
        <v>Merchant_036</v>
      </c>
      <c r="J354" t="str">
        <f>IFERROR(VLOOKUP(C354, merchants!$A$2:$D$41, 3, FALSE), "Merchant not found")</f>
        <v>entertainment</v>
      </c>
      <c r="K354" t="str">
        <f>IFERROR(VLOOKUP(C354, merchants!$A$2:$D$41, 4, FALSE), "Merchant not found")</f>
        <v>East</v>
      </c>
      <c r="L354" s="2">
        <f>HLOOKUP(F354, merchants!$F$1:$I$2, 2, FALSE)</f>
        <v>0</v>
      </c>
      <c r="M354" t="str">
        <f t="shared" si="10"/>
        <v>Regular</v>
      </c>
      <c r="N354" s="5">
        <f t="shared" si="11"/>
        <v>46025</v>
      </c>
    </row>
    <row r="355" spans="1:14" x14ac:dyDescent="0.3">
      <c r="A355" t="s">
        <v>368</v>
      </c>
      <c r="B355">
        <v>313</v>
      </c>
      <c r="C355">
        <v>8</v>
      </c>
      <c r="D355" s="1">
        <v>46049.821527777778</v>
      </c>
      <c r="E355">
        <v>1499</v>
      </c>
      <c r="F355" t="s">
        <v>15</v>
      </c>
      <c r="G355" t="s">
        <v>10</v>
      </c>
      <c r="H355">
        <v>16</v>
      </c>
      <c r="I355" t="str">
        <f>IFERROR(VLOOKUP(C355, merchants!$A$2:$D$41, 2, FALSE), "Merchant not found")</f>
        <v>Merchant_008</v>
      </c>
      <c r="J355" t="str">
        <f>IFERROR(VLOOKUP(C355, merchants!$A$2:$D$41, 3, FALSE), "Merchant not found")</f>
        <v>food_delivery</v>
      </c>
      <c r="K355" t="str">
        <f>IFERROR(VLOOKUP(C355, merchants!$A$2:$D$41, 4, FALSE), "Merchant not found")</f>
        <v>North</v>
      </c>
      <c r="L355" s="2">
        <f>HLOOKUP(F355, merchants!$F$1:$I$2, 2, FALSE)</f>
        <v>1.7999999999999999E-2</v>
      </c>
      <c r="M355" t="str">
        <f t="shared" si="10"/>
        <v>Regular</v>
      </c>
      <c r="N355" s="5">
        <f t="shared" si="11"/>
        <v>46049</v>
      </c>
    </row>
    <row r="356" spans="1:14" x14ac:dyDescent="0.3">
      <c r="A356" t="s">
        <v>369</v>
      </c>
      <c r="B356">
        <v>174</v>
      </c>
      <c r="C356">
        <v>36</v>
      </c>
      <c r="D356" s="1">
        <v>46026.515972222223</v>
      </c>
      <c r="E356">
        <v>149</v>
      </c>
      <c r="F356" t="s">
        <v>12</v>
      </c>
      <c r="G356" t="s">
        <v>10</v>
      </c>
      <c r="H356">
        <v>46</v>
      </c>
      <c r="I356" t="str">
        <f>IFERROR(VLOOKUP(C356, merchants!$A$2:$D$41, 2, FALSE), "Merchant not found")</f>
        <v>Merchant_036</v>
      </c>
      <c r="J356" t="str">
        <f>IFERROR(VLOOKUP(C356, merchants!$A$2:$D$41, 3, FALSE), "Merchant not found")</f>
        <v>entertainment</v>
      </c>
      <c r="K356" t="str">
        <f>IFERROR(VLOOKUP(C356, merchants!$A$2:$D$41, 4, FALSE), "Merchant not found")</f>
        <v>East</v>
      </c>
      <c r="L356" s="2">
        <f>HLOOKUP(F356, merchants!$F$1:$I$2, 2, FALSE)</f>
        <v>0</v>
      </c>
      <c r="M356" t="str">
        <f t="shared" si="10"/>
        <v>Regular</v>
      </c>
      <c r="N356" s="5">
        <f t="shared" si="11"/>
        <v>46026</v>
      </c>
    </row>
    <row r="357" spans="1:14" x14ac:dyDescent="0.3">
      <c r="A357" t="s">
        <v>370</v>
      </c>
      <c r="B357">
        <v>309</v>
      </c>
      <c r="C357">
        <v>33</v>
      </c>
      <c r="D357" s="1">
        <v>46047.175000000003</v>
      </c>
      <c r="E357">
        <v>99</v>
      </c>
      <c r="F357" t="s">
        <v>12</v>
      </c>
      <c r="G357" t="s">
        <v>10</v>
      </c>
      <c r="H357">
        <v>51</v>
      </c>
      <c r="I357" t="str">
        <f>IFERROR(VLOOKUP(C357, merchants!$A$2:$D$41, 2, FALSE), "Merchant not found")</f>
        <v>Merchant_033</v>
      </c>
      <c r="J357" t="str">
        <f>IFERROR(VLOOKUP(C357, merchants!$A$2:$D$41, 3, FALSE), "Merchant not found")</f>
        <v>bill_payment</v>
      </c>
      <c r="K357" t="str">
        <f>IFERROR(VLOOKUP(C357, merchants!$A$2:$D$41, 4, FALSE), "Merchant not found")</f>
        <v>East</v>
      </c>
      <c r="L357" s="2">
        <f>HLOOKUP(F357, merchants!$F$1:$I$2, 2, FALSE)</f>
        <v>0</v>
      </c>
      <c r="M357" t="str">
        <f t="shared" si="10"/>
        <v>Regular</v>
      </c>
      <c r="N357" s="5">
        <f t="shared" si="11"/>
        <v>46047</v>
      </c>
    </row>
    <row r="358" spans="1:14" x14ac:dyDescent="0.3">
      <c r="A358" t="s">
        <v>371</v>
      </c>
      <c r="B358">
        <v>20</v>
      </c>
      <c r="C358">
        <v>9</v>
      </c>
      <c r="D358" s="1">
        <v>46039.043055555558</v>
      </c>
      <c r="E358">
        <v>99</v>
      </c>
      <c r="F358" t="s">
        <v>12</v>
      </c>
      <c r="G358" t="s">
        <v>10</v>
      </c>
      <c r="H358">
        <v>91</v>
      </c>
      <c r="I358" t="str">
        <f>IFERROR(VLOOKUP(C358, merchants!$A$2:$D$41, 2, FALSE), "Merchant not found")</f>
        <v>Merchant_009</v>
      </c>
      <c r="J358" t="str">
        <f>IFERROR(VLOOKUP(C358, merchants!$A$2:$D$41, 3, FALSE), "Merchant not found")</f>
        <v>ecommerce</v>
      </c>
      <c r="K358" t="str">
        <f>IFERROR(VLOOKUP(C358, merchants!$A$2:$D$41, 4, FALSE), "Merchant not found")</f>
        <v>North</v>
      </c>
      <c r="L358" s="2">
        <f>HLOOKUP(F358, merchants!$F$1:$I$2, 2, FALSE)</f>
        <v>0</v>
      </c>
      <c r="M358" t="str">
        <f t="shared" si="10"/>
        <v>Regular</v>
      </c>
      <c r="N358" s="5">
        <f t="shared" si="11"/>
        <v>46039</v>
      </c>
    </row>
    <row r="359" spans="1:14" x14ac:dyDescent="0.3">
      <c r="A359" t="s">
        <v>372</v>
      </c>
      <c r="B359">
        <v>234</v>
      </c>
      <c r="C359">
        <v>10</v>
      </c>
      <c r="D359" s="1">
        <v>46033.647916666669</v>
      </c>
      <c r="E359">
        <v>49</v>
      </c>
      <c r="F359" t="s">
        <v>12</v>
      </c>
      <c r="G359" t="s">
        <v>10</v>
      </c>
      <c r="H359">
        <v>77</v>
      </c>
      <c r="I359" t="str">
        <f>IFERROR(VLOOKUP(C359, merchants!$A$2:$D$41, 2, FALSE), "Merchant not found")</f>
        <v>Merchant_010</v>
      </c>
      <c r="J359" t="str">
        <f>IFERROR(VLOOKUP(C359, merchants!$A$2:$D$41, 3, FALSE), "Merchant not found")</f>
        <v>grocery</v>
      </c>
      <c r="K359" t="str">
        <f>IFERROR(VLOOKUP(C359, merchants!$A$2:$D$41, 4, FALSE), "Merchant not found")</f>
        <v>West</v>
      </c>
      <c r="L359" s="2">
        <f>HLOOKUP(F359, merchants!$F$1:$I$2, 2, FALSE)</f>
        <v>0</v>
      </c>
      <c r="M359" t="str">
        <f t="shared" si="10"/>
        <v>Regular</v>
      </c>
      <c r="N359" s="5">
        <f t="shared" si="11"/>
        <v>46033</v>
      </c>
    </row>
    <row r="360" spans="1:14" x14ac:dyDescent="0.3">
      <c r="A360" t="s">
        <v>373</v>
      </c>
      <c r="B360">
        <v>168</v>
      </c>
      <c r="C360">
        <v>40</v>
      </c>
      <c r="D360" s="1">
        <v>46051.672222222223</v>
      </c>
      <c r="E360">
        <v>149</v>
      </c>
      <c r="F360" t="s">
        <v>12</v>
      </c>
      <c r="G360" t="s">
        <v>38</v>
      </c>
      <c r="H360">
        <v>40</v>
      </c>
      <c r="I360" t="str">
        <f>IFERROR(VLOOKUP(C360, merchants!$A$2:$D$41, 2, FALSE), "Merchant not found")</f>
        <v>Merchant_040</v>
      </c>
      <c r="J360" t="str">
        <f>IFERROR(VLOOKUP(C360, merchants!$A$2:$D$41, 3, FALSE), "Merchant not found")</f>
        <v>entertainment</v>
      </c>
      <c r="K360" t="str">
        <f>IFERROR(VLOOKUP(C360, merchants!$A$2:$D$41, 4, FALSE), "Merchant not found")</f>
        <v>South</v>
      </c>
      <c r="L360" s="2">
        <f>HLOOKUP(F360, merchants!$F$1:$I$2, 2, FALSE)</f>
        <v>0</v>
      </c>
      <c r="M360" t="str">
        <f t="shared" si="10"/>
        <v>Regular</v>
      </c>
      <c r="N360" s="5">
        <f t="shared" si="11"/>
        <v>46051</v>
      </c>
    </row>
    <row r="361" spans="1:14" x14ac:dyDescent="0.3">
      <c r="A361" t="s">
        <v>374</v>
      </c>
      <c r="B361">
        <v>154</v>
      </c>
      <c r="C361">
        <v>38</v>
      </c>
      <c r="D361" s="1">
        <v>46028.527083333334</v>
      </c>
      <c r="E361">
        <v>99</v>
      </c>
      <c r="F361" t="s">
        <v>15</v>
      </c>
      <c r="G361" t="s">
        <v>10</v>
      </c>
      <c r="H361">
        <v>43</v>
      </c>
      <c r="I361" t="str">
        <f>IFERROR(VLOOKUP(C361, merchants!$A$2:$D$41, 2, FALSE), "Merchant not found")</f>
        <v>Merchant_038</v>
      </c>
      <c r="J361" t="str">
        <f>IFERROR(VLOOKUP(C361, merchants!$A$2:$D$41, 3, FALSE), "Merchant not found")</f>
        <v>grocery</v>
      </c>
      <c r="K361" t="str">
        <f>IFERROR(VLOOKUP(C361, merchants!$A$2:$D$41, 4, FALSE), "Merchant not found")</f>
        <v>East</v>
      </c>
      <c r="L361" s="2">
        <f>HLOOKUP(F361, merchants!$F$1:$I$2, 2, FALSE)</f>
        <v>1.7999999999999999E-2</v>
      </c>
      <c r="M361" t="str">
        <f t="shared" si="10"/>
        <v>Regular</v>
      </c>
      <c r="N361" s="5">
        <f t="shared" si="11"/>
        <v>46028</v>
      </c>
    </row>
    <row r="362" spans="1:14" x14ac:dyDescent="0.3">
      <c r="A362" t="s">
        <v>375</v>
      </c>
      <c r="B362">
        <v>251</v>
      </c>
      <c r="C362">
        <v>37</v>
      </c>
      <c r="D362" s="1">
        <v>46039.69027777778</v>
      </c>
      <c r="E362">
        <v>49</v>
      </c>
      <c r="F362" t="s">
        <v>12</v>
      </c>
      <c r="G362" t="s">
        <v>10</v>
      </c>
      <c r="H362">
        <v>38</v>
      </c>
      <c r="I362" t="str">
        <f>IFERROR(VLOOKUP(C362, merchants!$A$2:$D$41, 2, FALSE), "Merchant not found")</f>
        <v>Merchant_037</v>
      </c>
      <c r="J362" t="str">
        <f>IFERROR(VLOOKUP(C362, merchants!$A$2:$D$41, 3, FALSE), "Merchant not found")</f>
        <v>entertainment</v>
      </c>
      <c r="K362" t="str">
        <f>IFERROR(VLOOKUP(C362, merchants!$A$2:$D$41, 4, FALSE), "Merchant not found")</f>
        <v>South</v>
      </c>
      <c r="L362" s="2">
        <f>HLOOKUP(F362, merchants!$F$1:$I$2, 2, FALSE)</f>
        <v>0</v>
      </c>
      <c r="M362" t="str">
        <f t="shared" si="10"/>
        <v>Regular</v>
      </c>
      <c r="N362" s="5">
        <f t="shared" si="11"/>
        <v>46039</v>
      </c>
    </row>
    <row r="363" spans="1:14" x14ac:dyDescent="0.3">
      <c r="A363" t="s">
        <v>376</v>
      </c>
      <c r="B363">
        <v>170</v>
      </c>
      <c r="C363">
        <v>8</v>
      </c>
      <c r="D363" s="1">
        <v>46038.015972222223</v>
      </c>
      <c r="E363">
        <v>2999</v>
      </c>
      <c r="F363" t="s">
        <v>12</v>
      </c>
      <c r="G363" t="s">
        <v>10</v>
      </c>
      <c r="H363">
        <v>53</v>
      </c>
      <c r="I363" t="str">
        <f>IFERROR(VLOOKUP(C363, merchants!$A$2:$D$41, 2, FALSE), "Merchant not found")</f>
        <v>Merchant_008</v>
      </c>
      <c r="J363" t="str">
        <f>IFERROR(VLOOKUP(C363, merchants!$A$2:$D$41, 3, FALSE), "Merchant not found")</f>
        <v>food_delivery</v>
      </c>
      <c r="K363" t="str">
        <f>IFERROR(VLOOKUP(C363, merchants!$A$2:$D$41, 4, FALSE), "Merchant not found")</f>
        <v>North</v>
      </c>
      <c r="L363" s="2">
        <f>HLOOKUP(F363, merchants!$F$1:$I$2, 2, FALSE)</f>
        <v>0</v>
      </c>
      <c r="M363" t="str">
        <f t="shared" si="10"/>
        <v>Regular</v>
      </c>
      <c r="N363" s="5">
        <f t="shared" si="11"/>
        <v>46038</v>
      </c>
    </row>
    <row r="364" spans="1:14" x14ac:dyDescent="0.3">
      <c r="A364" t="s">
        <v>377</v>
      </c>
      <c r="B364">
        <v>323</v>
      </c>
      <c r="C364">
        <v>2</v>
      </c>
      <c r="D364" s="1">
        <v>46041.409722222219</v>
      </c>
      <c r="E364">
        <v>49</v>
      </c>
      <c r="F364" t="s">
        <v>15</v>
      </c>
      <c r="G364" t="s">
        <v>10</v>
      </c>
      <c r="H364">
        <v>76</v>
      </c>
      <c r="I364" t="str">
        <f>IFERROR(VLOOKUP(C364, merchants!$A$2:$D$41, 2, FALSE), "Merchant not found")</f>
        <v>Merchant_002</v>
      </c>
      <c r="J364" t="str">
        <f>IFERROR(VLOOKUP(C364, merchants!$A$2:$D$41, 3, FALSE), "Merchant not found")</f>
        <v>grocery</v>
      </c>
      <c r="K364" t="str">
        <f>IFERROR(VLOOKUP(C364, merchants!$A$2:$D$41, 4, FALSE), "Merchant not found")</f>
        <v>West</v>
      </c>
      <c r="L364" s="2">
        <f>HLOOKUP(F364, merchants!$F$1:$I$2, 2, FALSE)</f>
        <v>1.7999999999999999E-2</v>
      </c>
      <c r="M364" t="str">
        <f t="shared" si="10"/>
        <v>Regular</v>
      </c>
      <c r="N364" s="5">
        <f t="shared" si="11"/>
        <v>46041</v>
      </c>
    </row>
    <row r="365" spans="1:14" x14ac:dyDescent="0.3">
      <c r="A365" t="s">
        <v>378</v>
      </c>
      <c r="B365">
        <v>297</v>
      </c>
      <c r="C365">
        <v>37</v>
      </c>
      <c r="D365" s="1">
        <v>46038.361805555556</v>
      </c>
      <c r="E365">
        <v>2999</v>
      </c>
      <c r="F365" t="s">
        <v>9</v>
      </c>
      <c r="G365" t="s">
        <v>10</v>
      </c>
      <c r="H365">
        <v>29</v>
      </c>
      <c r="I365" t="str">
        <f>IFERROR(VLOOKUP(C365, merchants!$A$2:$D$41, 2, FALSE), "Merchant not found")</f>
        <v>Merchant_037</v>
      </c>
      <c r="J365" t="str">
        <f>IFERROR(VLOOKUP(C365, merchants!$A$2:$D$41, 3, FALSE), "Merchant not found")</f>
        <v>entertainment</v>
      </c>
      <c r="K365" t="str">
        <f>IFERROR(VLOOKUP(C365, merchants!$A$2:$D$41, 4, FALSE), "Merchant not found")</f>
        <v>South</v>
      </c>
      <c r="L365" s="2">
        <f>HLOOKUP(F365, merchants!$F$1:$I$2, 2, FALSE)</f>
        <v>1.4999999999999999E-2</v>
      </c>
      <c r="M365" t="str">
        <f t="shared" si="10"/>
        <v>Regular</v>
      </c>
      <c r="N365" s="5">
        <f t="shared" si="11"/>
        <v>46038</v>
      </c>
    </row>
    <row r="366" spans="1:14" x14ac:dyDescent="0.3">
      <c r="A366" t="s">
        <v>379</v>
      </c>
      <c r="B366">
        <v>246</v>
      </c>
      <c r="C366">
        <v>11</v>
      </c>
      <c r="D366" s="1">
        <v>46046.067361111112</v>
      </c>
      <c r="E366">
        <v>299</v>
      </c>
      <c r="F366" t="s">
        <v>12</v>
      </c>
      <c r="G366" t="s">
        <v>10</v>
      </c>
      <c r="H366">
        <v>67</v>
      </c>
      <c r="I366" t="str">
        <f>IFERROR(VLOOKUP(C366, merchants!$A$2:$D$41, 2, FALSE), "Merchant not found")</f>
        <v>Merchant_011</v>
      </c>
      <c r="J366" t="str">
        <f>IFERROR(VLOOKUP(C366, merchants!$A$2:$D$41, 3, FALSE), "Merchant not found")</f>
        <v>ecommerce</v>
      </c>
      <c r="K366" t="str">
        <f>IFERROR(VLOOKUP(C366, merchants!$A$2:$D$41, 4, FALSE), "Merchant not found")</f>
        <v>North</v>
      </c>
      <c r="L366" s="2">
        <f>HLOOKUP(F366, merchants!$F$1:$I$2, 2, FALSE)</f>
        <v>0</v>
      </c>
      <c r="M366" t="str">
        <f t="shared" si="10"/>
        <v>Regular</v>
      </c>
      <c r="N366" s="5">
        <f t="shared" si="11"/>
        <v>46046</v>
      </c>
    </row>
    <row r="367" spans="1:14" x14ac:dyDescent="0.3">
      <c r="A367" t="s">
        <v>380</v>
      </c>
      <c r="B367">
        <v>195</v>
      </c>
      <c r="C367">
        <v>10</v>
      </c>
      <c r="D367" s="1">
        <v>46043.98541666667</v>
      </c>
      <c r="E367">
        <v>99</v>
      </c>
      <c r="F367" t="s">
        <v>12</v>
      </c>
      <c r="G367" t="s">
        <v>10</v>
      </c>
      <c r="H367">
        <v>87</v>
      </c>
      <c r="I367" t="str">
        <f>IFERROR(VLOOKUP(C367, merchants!$A$2:$D$41, 2, FALSE), "Merchant not found")</f>
        <v>Merchant_010</v>
      </c>
      <c r="J367" t="str">
        <f>IFERROR(VLOOKUP(C367, merchants!$A$2:$D$41, 3, FALSE), "Merchant not found")</f>
        <v>grocery</v>
      </c>
      <c r="K367" t="str">
        <f>IFERROR(VLOOKUP(C367, merchants!$A$2:$D$41, 4, FALSE), "Merchant not found")</f>
        <v>West</v>
      </c>
      <c r="L367" s="2">
        <f>HLOOKUP(F367, merchants!$F$1:$I$2, 2, FALSE)</f>
        <v>0</v>
      </c>
      <c r="M367" t="str">
        <f t="shared" si="10"/>
        <v>Regular</v>
      </c>
      <c r="N367" s="5">
        <f t="shared" si="11"/>
        <v>46043</v>
      </c>
    </row>
    <row r="368" spans="1:14" x14ac:dyDescent="0.3">
      <c r="A368" t="s">
        <v>381</v>
      </c>
      <c r="B368">
        <v>57</v>
      </c>
      <c r="C368">
        <v>13</v>
      </c>
      <c r="D368" s="1">
        <v>46030.066666666666</v>
      </c>
      <c r="E368">
        <v>149</v>
      </c>
      <c r="F368" t="s">
        <v>12</v>
      </c>
      <c r="G368" t="s">
        <v>10</v>
      </c>
      <c r="H368">
        <v>2</v>
      </c>
      <c r="I368" t="str">
        <f>IFERROR(VLOOKUP(C368, merchants!$A$2:$D$41, 2, FALSE), "Merchant not found")</f>
        <v>Merchant_013</v>
      </c>
      <c r="J368" t="str">
        <f>IFERROR(VLOOKUP(C368, merchants!$A$2:$D$41, 3, FALSE), "Merchant not found")</f>
        <v>travel</v>
      </c>
      <c r="K368" t="str">
        <f>IFERROR(VLOOKUP(C368, merchants!$A$2:$D$41, 4, FALSE), "Merchant not found")</f>
        <v>East</v>
      </c>
      <c r="L368" s="2">
        <f>HLOOKUP(F368, merchants!$F$1:$I$2, 2, FALSE)</f>
        <v>0</v>
      </c>
      <c r="M368" t="str">
        <f t="shared" si="10"/>
        <v>Regular</v>
      </c>
      <c r="N368" s="5">
        <f t="shared" si="11"/>
        <v>46030</v>
      </c>
    </row>
    <row r="369" spans="1:14" x14ac:dyDescent="0.3">
      <c r="A369" t="s">
        <v>382</v>
      </c>
      <c r="B369">
        <v>78</v>
      </c>
      <c r="C369">
        <v>27</v>
      </c>
      <c r="D369" s="1">
        <v>46037.43472222222</v>
      </c>
      <c r="E369">
        <v>1499</v>
      </c>
      <c r="F369" t="s">
        <v>15</v>
      </c>
      <c r="G369" t="s">
        <v>25</v>
      </c>
      <c r="H369">
        <v>88</v>
      </c>
      <c r="I369" t="str">
        <f>IFERROR(VLOOKUP(C369, merchants!$A$2:$D$41, 2, FALSE), "Merchant not found")</f>
        <v>Merchant_027</v>
      </c>
      <c r="J369" t="str">
        <f>IFERROR(VLOOKUP(C369, merchants!$A$2:$D$41, 3, FALSE), "Merchant not found")</f>
        <v>ecommerce</v>
      </c>
      <c r="K369" t="str">
        <f>IFERROR(VLOOKUP(C369, merchants!$A$2:$D$41, 4, FALSE), "Merchant not found")</f>
        <v>North</v>
      </c>
      <c r="L369" s="2">
        <f>HLOOKUP(F369, merchants!$F$1:$I$2, 2, FALSE)</f>
        <v>1.7999999999999999E-2</v>
      </c>
      <c r="M369" t="str">
        <f t="shared" si="10"/>
        <v>Regular</v>
      </c>
      <c r="N369" s="5">
        <f t="shared" si="11"/>
        <v>46037</v>
      </c>
    </row>
    <row r="370" spans="1:14" x14ac:dyDescent="0.3">
      <c r="A370" t="s">
        <v>383</v>
      </c>
      <c r="B370">
        <v>314</v>
      </c>
      <c r="C370">
        <v>31</v>
      </c>
      <c r="D370" s="1">
        <v>46029.563888888886</v>
      </c>
      <c r="E370">
        <v>49</v>
      </c>
      <c r="F370" t="s">
        <v>12</v>
      </c>
      <c r="G370" t="s">
        <v>38</v>
      </c>
      <c r="H370">
        <v>94</v>
      </c>
      <c r="I370" t="str">
        <f>IFERROR(VLOOKUP(C370, merchants!$A$2:$D$41, 2, FALSE), "Merchant not found")</f>
        <v>Merchant_031</v>
      </c>
      <c r="J370" t="str">
        <f>IFERROR(VLOOKUP(C370, merchants!$A$2:$D$41, 3, FALSE), "Merchant not found")</f>
        <v>bill_payment</v>
      </c>
      <c r="K370" t="str">
        <f>IFERROR(VLOOKUP(C370, merchants!$A$2:$D$41, 4, FALSE), "Merchant not found")</f>
        <v>East</v>
      </c>
      <c r="L370" s="2">
        <f>HLOOKUP(F370, merchants!$F$1:$I$2, 2, FALSE)</f>
        <v>0</v>
      </c>
      <c r="M370" t="str">
        <f t="shared" si="10"/>
        <v>Regular</v>
      </c>
      <c r="N370" s="5">
        <f t="shared" si="11"/>
        <v>46029</v>
      </c>
    </row>
    <row r="371" spans="1:14" x14ac:dyDescent="0.3">
      <c r="A371" t="s">
        <v>384</v>
      </c>
      <c r="B371">
        <v>71</v>
      </c>
      <c r="C371">
        <v>34</v>
      </c>
      <c r="D371" s="1">
        <v>46046.072916666664</v>
      </c>
      <c r="E371">
        <v>499</v>
      </c>
      <c r="F371" t="s">
        <v>12</v>
      </c>
      <c r="G371" t="s">
        <v>10</v>
      </c>
      <c r="H371">
        <v>26</v>
      </c>
      <c r="I371" t="str">
        <f>IFERROR(VLOOKUP(C371, merchants!$A$2:$D$41, 2, FALSE), "Merchant not found")</f>
        <v>Merchant_034</v>
      </c>
      <c r="J371" t="str">
        <f>IFERROR(VLOOKUP(C371, merchants!$A$2:$D$41, 3, FALSE), "Merchant not found")</f>
        <v>travel</v>
      </c>
      <c r="K371" t="str">
        <f>IFERROR(VLOOKUP(C371, merchants!$A$2:$D$41, 4, FALSE), "Merchant not found")</f>
        <v>South</v>
      </c>
      <c r="L371" s="2">
        <f>HLOOKUP(F371, merchants!$F$1:$I$2, 2, FALSE)</f>
        <v>0</v>
      </c>
      <c r="M371" t="str">
        <f t="shared" si="10"/>
        <v>Regular</v>
      </c>
      <c r="N371" s="5">
        <f t="shared" si="11"/>
        <v>46046</v>
      </c>
    </row>
    <row r="372" spans="1:14" x14ac:dyDescent="0.3">
      <c r="A372" t="s">
        <v>385</v>
      </c>
      <c r="B372">
        <v>245</v>
      </c>
      <c r="C372">
        <v>34</v>
      </c>
      <c r="D372" s="1">
        <v>46040.445833333331</v>
      </c>
      <c r="E372">
        <v>99</v>
      </c>
      <c r="F372" t="s">
        <v>12</v>
      </c>
      <c r="G372" t="s">
        <v>10</v>
      </c>
      <c r="H372">
        <v>48</v>
      </c>
      <c r="I372" t="str">
        <f>IFERROR(VLOOKUP(C372, merchants!$A$2:$D$41, 2, FALSE), "Merchant not found")</f>
        <v>Merchant_034</v>
      </c>
      <c r="J372" t="str">
        <f>IFERROR(VLOOKUP(C372, merchants!$A$2:$D$41, 3, FALSE), "Merchant not found")</f>
        <v>travel</v>
      </c>
      <c r="K372" t="str">
        <f>IFERROR(VLOOKUP(C372, merchants!$A$2:$D$41, 4, FALSE), "Merchant not found")</f>
        <v>South</v>
      </c>
      <c r="L372" s="2">
        <f>HLOOKUP(F372, merchants!$F$1:$I$2, 2, FALSE)</f>
        <v>0</v>
      </c>
      <c r="M372" t="str">
        <f t="shared" si="10"/>
        <v>Regular</v>
      </c>
      <c r="N372" s="5">
        <f t="shared" si="11"/>
        <v>46040</v>
      </c>
    </row>
    <row r="373" spans="1:14" x14ac:dyDescent="0.3">
      <c r="A373" t="s">
        <v>386</v>
      </c>
      <c r="B373">
        <v>273</v>
      </c>
      <c r="C373">
        <v>22</v>
      </c>
      <c r="D373" s="1">
        <v>46033.228472222225</v>
      </c>
      <c r="E373">
        <v>299</v>
      </c>
      <c r="F373" t="s">
        <v>9</v>
      </c>
      <c r="G373" t="s">
        <v>10</v>
      </c>
      <c r="H373">
        <v>69</v>
      </c>
      <c r="I373" t="str">
        <f>IFERROR(VLOOKUP(C373, merchants!$A$2:$D$41, 2, FALSE), "Merchant not found")</f>
        <v>Merchant_022</v>
      </c>
      <c r="J373" t="str">
        <f>IFERROR(VLOOKUP(C373, merchants!$A$2:$D$41, 3, FALSE), "Merchant not found")</f>
        <v>travel</v>
      </c>
      <c r="K373" t="str">
        <f>IFERROR(VLOOKUP(C373, merchants!$A$2:$D$41, 4, FALSE), "Merchant not found")</f>
        <v>South</v>
      </c>
      <c r="L373" s="2">
        <f>HLOOKUP(F373, merchants!$F$1:$I$2, 2, FALSE)</f>
        <v>1.4999999999999999E-2</v>
      </c>
      <c r="M373" t="str">
        <f t="shared" si="10"/>
        <v>Regular</v>
      </c>
      <c r="N373" s="5">
        <f t="shared" si="11"/>
        <v>46033</v>
      </c>
    </row>
    <row r="374" spans="1:14" x14ac:dyDescent="0.3">
      <c r="A374" t="s">
        <v>387</v>
      </c>
      <c r="B374">
        <v>349</v>
      </c>
      <c r="C374">
        <v>17</v>
      </c>
      <c r="D374" s="1">
        <v>46034.90902777778</v>
      </c>
      <c r="E374">
        <v>1499</v>
      </c>
      <c r="F374" t="s">
        <v>12</v>
      </c>
      <c r="G374" t="s">
        <v>10</v>
      </c>
      <c r="H374">
        <v>78</v>
      </c>
      <c r="I374" t="str">
        <f>IFERROR(VLOOKUP(C374, merchants!$A$2:$D$41, 2, FALSE), "Merchant not found")</f>
        <v>Merchant_017</v>
      </c>
      <c r="J374" t="str">
        <f>IFERROR(VLOOKUP(C374, merchants!$A$2:$D$41, 3, FALSE), "Merchant not found")</f>
        <v>grocery</v>
      </c>
      <c r="K374" t="str">
        <f>IFERROR(VLOOKUP(C374, merchants!$A$2:$D$41, 4, FALSE), "Merchant not found")</f>
        <v>North</v>
      </c>
      <c r="L374" s="2">
        <f>HLOOKUP(F374, merchants!$F$1:$I$2, 2, FALSE)</f>
        <v>0</v>
      </c>
      <c r="M374" t="str">
        <f t="shared" si="10"/>
        <v>Regular</v>
      </c>
      <c r="N374" s="5">
        <f t="shared" si="11"/>
        <v>46034</v>
      </c>
    </row>
    <row r="375" spans="1:14" x14ac:dyDescent="0.3">
      <c r="A375" t="s">
        <v>388</v>
      </c>
      <c r="B375">
        <v>143</v>
      </c>
      <c r="C375">
        <v>36</v>
      </c>
      <c r="D375" s="1">
        <v>46038.260416666664</v>
      </c>
      <c r="E375">
        <v>1499</v>
      </c>
      <c r="F375" t="s">
        <v>15</v>
      </c>
      <c r="G375" t="s">
        <v>10</v>
      </c>
      <c r="H375">
        <v>38</v>
      </c>
      <c r="I375" t="str">
        <f>IFERROR(VLOOKUP(C375, merchants!$A$2:$D$41, 2, FALSE), "Merchant not found")</f>
        <v>Merchant_036</v>
      </c>
      <c r="J375" t="str">
        <f>IFERROR(VLOOKUP(C375, merchants!$A$2:$D$41, 3, FALSE), "Merchant not found")</f>
        <v>entertainment</v>
      </c>
      <c r="K375" t="str">
        <f>IFERROR(VLOOKUP(C375, merchants!$A$2:$D$41, 4, FALSE), "Merchant not found")</f>
        <v>East</v>
      </c>
      <c r="L375" s="2">
        <f>HLOOKUP(F375, merchants!$F$1:$I$2, 2, FALSE)</f>
        <v>1.7999999999999999E-2</v>
      </c>
      <c r="M375" t="str">
        <f t="shared" si="10"/>
        <v>Regular</v>
      </c>
      <c r="N375" s="5">
        <f t="shared" si="11"/>
        <v>46038</v>
      </c>
    </row>
    <row r="376" spans="1:14" x14ac:dyDescent="0.3">
      <c r="A376" t="s">
        <v>389</v>
      </c>
      <c r="B376">
        <v>148</v>
      </c>
      <c r="C376">
        <v>14</v>
      </c>
      <c r="D376" s="1">
        <v>46030.40902777778</v>
      </c>
      <c r="E376">
        <v>799</v>
      </c>
      <c r="F376" t="s">
        <v>9</v>
      </c>
      <c r="G376" t="s">
        <v>10</v>
      </c>
      <c r="H376">
        <v>88</v>
      </c>
      <c r="I376" t="str">
        <f>IFERROR(VLOOKUP(C376, merchants!$A$2:$D$41, 2, FALSE), "Merchant not found")</f>
        <v>Merchant_014</v>
      </c>
      <c r="J376" t="str">
        <f>IFERROR(VLOOKUP(C376, merchants!$A$2:$D$41, 3, FALSE), "Merchant not found")</f>
        <v>grocery</v>
      </c>
      <c r="K376" t="str">
        <f>IFERROR(VLOOKUP(C376, merchants!$A$2:$D$41, 4, FALSE), "Merchant not found")</f>
        <v>East</v>
      </c>
      <c r="L376" s="2">
        <f>HLOOKUP(F376, merchants!$F$1:$I$2, 2, FALSE)</f>
        <v>1.4999999999999999E-2</v>
      </c>
      <c r="M376" t="str">
        <f t="shared" si="10"/>
        <v>Regular</v>
      </c>
      <c r="N376" s="5">
        <f t="shared" si="11"/>
        <v>46030</v>
      </c>
    </row>
    <row r="377" spans="1:14" x14ac:dyDescent="0.3">
      <c r="A377" t="s">
        <v>390</v>
      </c>
      <c r="B377">
        <v>246</v>
      </c>
      <c r="C377">
        <v>23</v>
      </c>
      <c r="D377" s="1">
        <v>46045.638888888891</v>
      </c>
      <c r="E377">
        <v>49</v>
      </c>
      <c r="F377" t="s">
        <v>12</v>
      </c>
      <c r="G377" t="s">
        <v>10</v>
      </c>
      <c r="H377">
        <v>71</v>
      </c>
      <c r="I377" t="str">
        <f>IFERROR(VLOOKUP(C377, merchants!$A$2:$D$41, 2, FALSE), "Merchant not found")</f>
        <v>Merchant_023</v>
      </c>
      <c r="J377" t="str">
        <f>IFERROR(VLOOKUP(C377, merchants!$A$2:$D$41, 3, FALSE), "Merchant not found")</f>
        <v>travel</v>
      </c>
      <c r="K377" t="str">
        <f>IFERROR(VLOOKUP(C377, merchants!$A$2:$D$41, 4, FALSE), "Merchant not found")</f>
        <v>North</v>
      </c>
      <c r="L377" s="2">
        <f>HLOOKUP(F377, merchants!$F$1:$I$2, 2, FALSE)</f>
        <v>0</v>
      </c>
      <c r="M377" t="str">
        <f t="shared" si="10"/>
        <v>Regular</v>
      </c>
      <c r="N377" s="5">
        <f t="shared" si="11"/>
        <v>46045</v>
      </c>
    </row>
    <row r="378" spans="1:14" x14ac:dyDescent="0.3">
      <c r="A378" t="s">
        <v>391</v>
      </c>
      <c r="B378">
        <v>148</v>
      </c>
      <c r="C378">
        <v>8</v>
      </c>
      <c r="D378" s="1">
        <v>46052.970138888886</v>
      </c>
      <c r="E378">
        <v>99</v>
      </c>
      <c r="F378" t="s">
        <v>9</v>
      </c>
      <c r="G378" t="s">
        <v>10</v>
      </c>
      <c r="H378">
        <v>73</v>
      </c>
      <c r="I378" t="str">
        <f>IFERROR(VLOOKUP(C378, merchants!$A$2:$D$41, 2, FALSE), "Merchant not found")</f>
        <v>Merchant_008</v>
      </c>
      <c r="J378" t="str">
        <f>IFERROR(VLOOKUP(C378, merchants!$A$2:$D$41, 3, FALSE), "Merchant not found")</f>
        <v>food_delivery</v>
      </c>
      <c r="K378" t="str">
        <f>IFERROR(VLOOKUP(C378, merchants!$A$2:$D$41, 4, FALSE), "Merchant not found")</f>
        <v>North</v>
      </c>
      <c r="L378" s="2">
        <f>HLOOKUP(F378, merchants!$F$1:$I$2, 2, FALSE)</f>
        <v>1.4999999999999999E-2</v>
      </c>
      <c r="M378" t="str">
        <f t="shared" si="10"/>
        <v>Regular</v>
      </c>
      <c r="N378" s="5">
        <f t="shared" si="11"/>
        <v>46052</v>
      </c>
    </row>
    <row r="379" spans="1:14" x14ac:dyDescent="0.3">
      <c r="A379" t="s">
        <v>392</v>
      </c>
      <c r="B379">
        <v>203</v>
      </c>
      <c r="C379">
        <v>23</v>
      </c>
      <c r="D379" s="1">
        <v>46044.724999999999</v>
      </c>
      <c r="E379">
        <v>49</v>
      </c>
      <c r="F379" t="s">
        <v>12</v>
      </c>
      <c r="G379" t="s">
        <v>10</v>
      </c>
      <c r="H379">
        <v>98</v>
      </c>
      <c r="I379" t="str">
        <f>IFERROR(VLOOKUP(C379, merchants!$A$2:$D$41, 2, FALSE), "Merchant not found")</f>
        <v>Merchant_023</v>
      </c>
      <c r="J379" t="str">
        <f>IFERROR(VLOOKUP(C379, merchants!$A$2:$D$41, 3, FALSE), "Merchant not found")</f>
        <v>travel</v>
      </c>
      <c r="K379" t="str">
        <f>IFERROR(VLOOKUP(C379, merchants!$A$2:$D$41, 4, FALSE), "Merchant not found")</f>
        <v>North</v>
      </c>
      <c r="L379" s="2">
        <f>HLOOKUP(F379, merchants!$F$1:$I$2, 2, FALSE)</f>
        <v>0</v>
      </c>
      <c r="M379" t="str">
        <f t="shared" si="10"/>
        <v>Regular</v>
      </c>
      <c r="N379" s="5">
        <f t="shared" si="11"/>
        <v>46044</v>
      </c>
    </row>
    <row r="380" spans="1:14" x14ac:dyDescent="0.3">
      <c r="A380" t="s">
        <v>393</v>
      </c>
      <c r="B380">
        <v>22</v>
      </c>
      <c r="C380">
        <v>19</v>
      </c>
      <c r="D380" s="1">
        <v>46048.179166666669</v>
      </c>
      <c r="E380">
        <v>49</v>
      </c>
      <c r="F380" t="s">
        <v>24</v>
      </c>
      <c r="G380" t="s">
        <v>10</v>
      </c>
      <c r="H380">
        <v>91</v>
      </c>
      <c r="I380" t="str">
        <f>IFERROR(VLOOKUP(C380, merchants!$A$2:$D$41, 2, FALSE), "Merchant not found")</f>
        <v>Merchant_019</v>
      </c>
      <c r="J380" t="str">
        <f>IFERROR(VLOOKUP(C380, merchants!$A$2:$D$41, 3, FALSE), "Merchant not found")</f>
        <v>grocery</v>
      </c>
      <c r="K380" t="str">
        <f>IFERROR(VLOOKUP(C380, merchants!$A$2:$D$41, 4, FALSE), "Merchant not found")</f>
        <v>North</v>
      </c>
      <c r="L380" s="2">
        <f>HLOOKUP(F380, merchants!$F$1:$I$2, 2, FALSE)</f>
        <v>0.02</v>
      </c>
      <c r="M380" t="str">
        <f t="shared" si="10"/>
        <v>Regular</v>
      </c>
      <c r="N380" s="5">
        <f t="shared" si="11"/>
        <v>46048</v>
      </c>
    </row>
    <row r="381" spans="1:14" x14ac:dyDescent="0.3">
      <c r="A381" t="s">
        <v>394</v>
      </c>
      <c r="B381">
        <v>227</v>
      </c>
      <c r="C381">
        <v>17</v>
      </c>
      <c r="D381" s="1">
        <v>46025.499305555553</v>
      </c>
      <c r="E381">
        <v>299</v>
      </c>
      <c r="F381" t="s">
        <v>9</v>
      </c>
      <c r="G381" t="s">
        <v>10</v>
      </c>
      <c r="H381">
        <v>95</v>
      </c>
      <c r="I381" t="str">
        <f>IFERROR(VLOOKUP(C381, merchants!$A$2:$D$41, 2, FALSE), "Merchant not found")</f>
        <v>Merchant_017</v>
      </c>
      <c r="J381" t="str">
        <f>IFERROR(VLOOKUP(C381, merchants!$A$2:$D$41, 3, FALSE), "Merchant not found")</f>
        <v>grocery</v>
      </c>
      <c r="K381" t="str">
        <f>IFERROR(VLOOKUP(C381, merchants!$A$2:$D$41, 4, FALSE), "Merchant not found")</f>
        <v>North</v>
      </c>
      <c r="L381" s="2">
        <f>HLOOKUP(F381, merchants!$F$1:$I$2, 2, FALSE)</f>
        <v>1.4999999999999999E-2</v>
      </c>
      <c r="M381" t="str">
        <f t="shared" si="10"/>
        <v>Regular</v>
      </c>
      <c r="N381" s="5">
        <f t="shared" si="11"/>
        <v>46025</v>
      </c>
    </row>
    <row r="382" spans="1:14" x14ac:dyDescent="0.3">
      <c r="A382" t="s">
        <v>395</v>
      </c>
      <c r="B382">
        <v>276</v>
      </c>
      <c r="C382">
        <v>18</v>
      </c>
      <c r="D382" s="1">
        <v>46038.258333333331</v>
      </c>
      <c r="E382">
        <v>149</v>
      </c>
      <c r="F382" t="s">
        <v>9</v>
      </c>
      <c r="G382" t="s">
        <v>10</v>
      </c>
      <c r="H382">
        <v>71</v>
      </c>
      <c r="I382" t="str">
        <f>IFERROR(VLOOKUP(C382, merchants!$A$2:$D$41, 2, FALSE), "Merchant not found")</f>
        <v>Merchant_018</v>
      </c>
      <c r="J382" t="str">
        <f>IFERROR(VLOOKUP(C382, merchants!$A$2:$D$41, 3, FALSE), "Merchant not found")</f>
        <v>grocery</v>
      </c>
      <c r="K382" t="str">
        <f>IFERROR(VLOOKUP(C382, merchants!$A$2:$D$41, 4, FALSE), "Merchant not found")</f>
        <v>West</v>
      </c>
      <c r="L382" s="2">
        <f>HLOOKUP(F382, merchants!$F$1:$I$2, 2, FALSE)</f>
        <v>1.4999999999999999E-2</v>
      </c>
      <c r="M382" t="str">
        <f t="shared" si="10"/>
        <v>Regular</v>
      </c>
      <c r="N382" s="5">
        <f t="shared" si="11"/>
        <v>46038</v>
      </c>
    </row>
    <row r="383" spans="1:14" x14ac:dyDescent="0.3">
      <c r="A383" t="s">
        <v>396</v>
      </c>
      <c r="B383">
        <v>56</v>
      </c>
      <c r="C383">
        <v>40</v>
      </c>
      <c r="D383" s="1">
        <v>46045.338888888888</v>
      </c>
      <c r="E383">
        <v>99</v>
      </c>
      <c r="F383" t="s">
        <v>24</v>
      </c>
      <c r="G383" t="s">
        <v>10</v>
      </c>
      <c r="H383">
        <v>94</v>
      </c>
      <c r="I383" t="str">
        <f>IFERROR(VLOOKUP(C383, merchants!$A$2:$D$41, 2, FALSE), "Merchant not found")</f>
        <v>Merchant_040</v>
      </c>
      <c r="J383" t="str">
        <f>IFERROR(VLOOKUP(C383, merchants!$A$2:$D$41, 3, FALSE), "Merchant not found")</f>
        <v>entertainment</v>
      </c>
      <c r="K383" t="str">
        <f>IFERROR(VLOOKUP(C383, merchants!$A$2:$D$41, 4, FALSE), "Merchant not found")</f>
        <v>South</v>
      </c>
      <c r="L383" s="2">
        <f>HLOOKUP(F383, merchants!$F$1:$I$2, 2, FALSE)</f>
        <v>0.02</v>
      </c>
      <c r="M383" t="str">
        <f t="shared" si="10"/>
        <v>Regular</v>
      </c>
      <c r="N383" s="5">
        <f t="shared" si="11"/>
        <v>46045</v>
      </c>
    </row>
    <row r="384" spans="1:14" x14ac:dyDescent="0.3">
      <c r="A384" t="s">
        <v>397</v>
      </c>
      <c r="B384">
        <v>26</v>
      </c>
      <c r="C384">
        <v>34</v>
      </c>
      <c r="D384" s="1">
        <v>46041.302083333336</v>
      </c>
      <c r="E384">
        <v>499</v>
      </c>
      <c r="F384" t="s">
        <v>24</v>
      </c>
      <c r="G384" t="s">
        <v>10</v>
      </c>
      <c r="H384">
        <v>28</v>
      </c>
      <c r="I384" t="str">
        <f>IFERROR(VLOOKUP(C384, merchants!$A$2:$D$41, 2, FALSE), "Merchant not found")</f>
        <v>Merchant_034</v>
      </c>
      <c r="J384" t="str">
        <f>IFERROR(VLOOKUP(C384, merchants!$A$2:$D$41, 3, FALSE), "Merchant not found")</f>
        <v>travel</v>
      </c>
      <c r="K384" t="str">
        <f>IFERROR(VLOOKUP(C384, merchants!$A$2:$D$41, 4, FALSE), "Merchant not found")</f>
        <v>South</v>
      </c>
      <c r="L384" s="2">
        <f>HLOOKUP(F384, merchants!$F$1:$I$2, 2, FALSE)</f>
        <v>0.02</v>
      </c>
      <c r="M384" t="str">
        <f t="shared" si="10"/>
        <v>Regular</v>
      </c>
      <c r="N384" s="5">
        <f t="shared" si="11"/>
        <v>46041</v>
      </c>
    </row>
    <row r="385" spans="1:14" x14ac:dyDescent="0.3">
      <c r="A385" t="s">
        <v>398</v>
      </c>
      <c r="B385">
        <v>52</v>
      </c>
      <c r="C385">
        <v>27</v>
      </c>
      <c r="D385" s="1">
        <v>46043.293749999997</v>
      </c>
      <c r="E385">
        <v>499</v>
      </c>
      <c r="F385" t="s">
        <v>24</v>
      </c>
      <c r="G385" t="s">
        <v>10</v>
      </c>
      <c r="H385">
        <v>42</v>
      </c>
      <c r="I385" t="str">
        <f>IFERROR(VLOOKUP(C385, merchants!$A$2:$D$41, 2, FALSE), "Merchant not found")</f>
        <v>Merchant_027</v>
      </c>
      <c r="J385" t="str">
        <f>IFERROR(VLOOKUP(C385, merchants!$A$2:$D$41, 3, FALSE), "Merchant not found")</f>
        <v>ecommerce</v>
      </c>
      <c r="K385" t="str">
        <f>IFERROR(VLOOKUP(C385, merchants!$A$2:$D$41, 4, FALSE), "Merchant not found")</f>
        <v>North</v>
      </c>
      <c r="L385" s="2">
        <f>HLOOKUP(F385, merchants!$F$1:$I$2, 2, FALSE)</f>
        <v>0.02</v>
      </c>
      <c r="M385" t="str">
        <f t="shared" si="10"/>
        <v>Regular</v>
      </c>
      <c r="N385" s="5">
        <f t="shared" si="11"/>
        <v>46043</v>
      </c>
    </row>
    <row r="386" spans="1:14" x14ac:dyDescent="0.3">
      <c r="A386" t="s">
        <v>399</v>
      </c>
      <c r="B386">
        <v>349</v>
      </c>
      <c r="C386">
        <v>9</v>
      </c>
      <c r="D386" s="1">
        <v>46045.629166666666</v>
      </c>
      <c r="E386">
        <v>499</v>
      </c>
      <c r="F386" t="s">
        <v>9</v>
      </c>
      <c r="G386" t="s">
        <v>10</v>
      </c>
      <c r="H386">
        <v>0</v>
      </c>
      <c r="I386" t="str">
        <f>IFERROR(VLOOKUP(C386, merchants!$A$2:$D$41, 2, FALSE), "Merchant not found")</f>
        <v>Merchant_009</v>
      </c>
      <c r="J386" t="str">
        <f>IFERROR(VLOOKUP(C386, merchants!$A$2:$D$41, 3, FALSE), "Merchant not found")</f>
        <v>ecommerce</v>
      </c>
      <c r="K386" t="str">
        <f>IFERROR(VLOOKUP(C386, merchants!$A$2:$D$41, 4, FALSE), "Merchant not found")</f>
        <v>North</v>
      </c>
      <c r="L386" s="2">
        <f>HLOOKUP(F386, merchants!$F$1:$I$2, 2, FALSE)</f>
        <v>1.4999999999999999E-2</v>
      </c>
      <c r="M386" t="str">
        <f t="shared" si="10"/>
        <v>Regular</v>
      </c>
      <c r="N386" s="5">
        <f t="shared" si="11"/>
        <v>46045</v>
      </c>
    </row>
    <row r="387" spans="1:14" x14ac:dyDescent="0.3">
      <c r="A387" t="s">
        <v>400</v>
      </c>
      <c r="B387">
        <v>335</v>
      </c>
      <c r="C387">
        <v>31</v>
      </c>
      <c r="D387" s="1">
        <v>46040.226388888892</v>
      </c>
      <c r="E387">
        <v>49</v>
      </c>
      <c r="F387" t="s">
        <v>24</v>
      </c>
      <c r="G387" t="s">
        <v>10</v>
      </c>
      <c r="H387">
        <v>61</v>
      </c>
      <c r="I387" t="str">
        <f>IFERROR(VLOOKUP(C387, merchants!$A$2:$D$41, 2, FALSE), "Merchant not found")</f>
        <v>Merchant_031</v>
      </c>
      <c r="J387" t="str">
        <f>IFERROR(VLOOKUP(C387, merchants!$A$2:$D$41, 3, FALSE), "Merchant not found")</f>
        <v>bill_payment</v>
      </c>
      <c r="K387" t="str">
        <f>IFERROR(VLOOKUP(C387, merchants!$A$2:$D$41, 4, FALSE), "Merchant not found")</f>
        <v>East</v>
      </c>
      <c r="L387" s="2">
        <f>HLOOKUP(F387, merchants!$F$1:$I$2, 2, FALSE)</f>
        <v>0.02</v>
      </c>
      <c r="M387" t="str">
        <f t="shared" ref="M387:M450" si="12">IF(AND(SUMIFS($E:$E, $C:$C, C387, $D:$D, "&gt;="&amp;INT(D387), $D:$D, "&lt;"&amp;INT(D387)+1) &gt; 5000, K387 &lt;&gt; "East"), "High-Value Day", "Regular")</f>
        <v>Regular</v>
      </c>
      <c r="N387" s="5">
        <f t="shared" ref="N387:N450" si="13">INT(D387)</f>
        <v>46040</v>
      </c>
    </row>
    <row r="388" spans="1:14" x14ac:dyDescent="0.3">
      <c r="A388" t="s">
        <v>401</v>
      </c>
      <c r="B388">
        <v>148</v>
      </c>
      <c r="C388">
        <v>21</v>
      </c>
      <c r="D388" s="1">
        <v>46043.283333333333</v>
      </c>
      <c r="E388">
        <v>49</v>
      </c>
      <c r="F388" t="s">
        <v>24</v>
      </c>
      <c r="G388" t="s">
        <v>10</v>
      </c>
      <c r="H388">
        <v>36</v>
      </c>
      <c r="I388" t="str">
        <f>IFERROR(VLOOKUP(C388, merchants!$A$2:$D$41, 2, FALSE), "Merchant not found")</f>
        <v>Merchant_021</v>
      </c>
      <c r="J388" t="str">
        <f>IFERROR(VLOOKUP(C388, merchants!$A$2:$D$41, 3, FALSE), "Merchant not found")</f>
        <v>food_delivery</v>
      </c>
      <c r="K388" t="str">
        <f>IFERROR(VLOOKUP(C388, merchants!$A$2:$D$41, 4, FALSE), "Merchant not found")</f>
        <v>East</v>
      </c>
      <c r="L388" s="2">
        <f>HLOOKUP(F388, merchants!$F$1:$I$2, 2, FALSE)</f>
        <v>0.02</v>
      </c>
      <c r="M388" t="str">
        <f t="shared" si="12"/>
        <v>Regular</v>
      </c>
      <c r="N388" s="5">
        <f t="shared" si="13"/>
        <v>46043</v>
      </c>
    </row>
    <row r="389" spans="1:14" x14ac:dyDescent="0.3">
      <c r="A389" t="s">
        <v>402</v>
      </c>
      <c r="B389">
        <v>46</v>
      </c>
      <c r="C389">
        <v>37</v>
      </c>
      <c r="D389" s="1">
        <v>46043.081944444442</v>
      </c>
      <c r="E389">
        <v>99</v>
      </c>
      <c r="F389" t="s">
        <v>9</v>
      </c>
      <c r="G389" t="s">
        <v>10</v>
      </c>
      <c r="H389">
        <v>29</v>
      </c>
      <c r="I389" t="str">
        <f>IFERROR(VLOOKUP(C389, merchants!$A$2:$D$41, 2, FALSE), "Merchant not found")</f>
        <v>Merchant_037</v>
      </c>
      <c r="J389" t="str">
        <f>IFERROR(VLOOKUP(C389, merchants!$A$2:$D$41, 3, FALSE), "Merchant not found")</f>
        <v>entertainment</v>
      </c>
      <c r="K389" t="str">
        <f>IFERROR(VLOOKUP(C389, merchants!$A$2:$D$41, 4, FALSE), "Merchant not found")</f>
        <v>South</v>
      </c>
      <c r="L389" s="2">
        <f>HLOOKUP(F389, merchants!$F$1:$I$2, 2, FALSE)</f>
        <v>1.4999999999999999E-2</v>
      </c>
      <c r="M389" t="str">
        <f t="shared" si="12"/>
        <v>Regular</v>
      </c>
      <c r="N389" s="5">
        <f t="shared" si="13"/>
        <v>46043</v>
      </c>
    </row>
    <row r="390" spans="1:14" x14ac:dyDescent="0.3">
      <c r="A390" t="s">
        <v>403</v>
      </c>
      <c r="B390">
        <v>20</v>
      </c>
      <c r="C390">
        <v>12</v>
      </c>
      <c r="D390" s="1">
        <v>46040.990277777775</v>
      </c>
      <c r="E390">
        <v>799</v>
      </c>
      <c r="F390" t="s">
        <v>24</v>
      </c>
      <c r="G390" t="s">
        <v>10</v>
      </c>
      <c r="H390">
        <v>53</v>
      </c>
      <c r="I390" t="str">
        <f>IFERROR(VLOOKUP(C390, merchants!$A$2:$D$41, 2, FALSE), "Merchant not found")</f>
        <v>Merchant_012</v>
      </c>
      <c r="J390" t="str">
        <f>IFERROR(VLOOKUP(C390, merchants!$A$2:$D$41, 3, FALSE), "Merchant not found")</f>
        <v>ecommerce</v>
      </c>
      <c r="K390" t="str">
        <f>IFERROR(VLOOKUP(C390, merchants!$A$2:$D$41, 4, FALSE), "Merchant not found")</f>
        <v>East</v>
      </c>
      <c r="L390" s="2">
        <f>HLOOKUP(F390, merchants!$F$1:$I$2, 2, FALSE)</f>
        <v>0.02</v>
      </c>
      <c r="M390" t="str">
        <f t="shared" si="12"/>
        <v>Regular</v>
      </c>
      <c r="N390" s="5">
        <f t="shared" si="13"/>
        <v>46040</v>
      </c>
    </row>
    <row r="391" spans="1:14" x14ac:dyDescent="0.3">
      <c r="A391" t="s">
        <v>404</v>
      </c>
      <c r="B391">
        <v>19</v>
      </c>
      <c r="C391">
        <v>26</v>
      </c>
      <c r="D391" s="1">
        <v>46051.249305555553</v>
      </c>
      <c r="E391">
        <v>49</v>
      </c>
      <c r="F391" t="s">
        <v>12</v>
      </c>
      <c r="G391" t="s">
        <v>10</v>
      </c>
      <c r="H391">
        <v>100</v>
      </c>
      <c r="I391" t="str">
        <f>IFERROR(VLOOKUP(C391, merchants!$A$2:$D$41, 2, FALSE), "Merchant not found")</f>
        <v>Merchant_026</v>
      </c>
      <c r="J391" t="str">
        <f>IFERROR(VLOOKUP(C391, merchants!$A$2:$D$41, 3, FALSE), "Merchant not found")</f>
        <v>food_delivery</v>
      </c>
      <c r="K391" t="str">
        <f>IFERROR(VLOOKUP(C391, merchants!$A$2:$D$41, 4, FALSE), "Merchant not found")</f>
        <v>East</v>
      </c>
      <c r="L391" s="2">
        <f>HLOOKUP(F391, merchants!$F$1:$I$2, 2, FALSE)</f>
        <v>0</v>
      </c>
      <c r="M391" t="str">
        <f t="shared" si="12"/>
        <v>Regular</v>
      </c>
      <c r="N391" s="5">
        <f t="shared" si="13"/>
        <v>46051</v>
      </c>
    </row>
    <row r="392" spans="1:14" x14ac:dyDescent="0.3">
      <c r="A392" t="s">
        <v>405</v>
      </c>
      <c r="B392">
        <v>149</v>
      </c>
      <c r="C392">
        <v>3</v>
      </c>
      <c r="D392" s="1">
        <v>46038.249305555553</v>
      </c>
      <c r="E392">
        <v>4999</v>
      </c>
      <c r="F392" t="s">
        <v>9</v>
      </c>
      <c r="G392" t="s">
        <v>10</v>
      </c>
      <c r="H392">
        <v>1</v>
      </c>
      <c r="I392" t="str">
        <f>IFERROR(VLOOKUP(C392, merchants!$A$2:$D$41, 2, FALSE), "Merchant not found")</f>
        <v>Merchant_003</v>
      </c>
      <c r="J392" t="str">
        <f>IFERROR(VLOOKUP(C392, merchants!$A$2:$D$41, 3, FALSE), "Merchant not found")</f>
        <v>grocery</v>
      </c>
      <c r="K392" t="str">
        <f>IFERROR(VLOOKUP(C392, merchants!$A$2:$D$41, 4, FALSE), "Merchant not found")</f>
        <v>East</v>
      </c>
      <c r="L392" s="2">
        <f>HLOOKUP(F392, merchants!$F$1:$I$2, 2, FALSE)</f>
        <v>1.4999999999999999E-2</v>
      </c>
      <c r="M392" t="str">
        <f t="shared" si="12"/>
        <v>Regular</v>
      </c>
      <c r="N392" s="5">
        <f t="shared" si="13"/>
        <v>46038</v>
      </c>
    </row>
    <row r="393" spans="1:14" x14ac:dyDescent="0.3">
      <c r="A393" t="s">
        <v>406</v>
      </c>
      <c r="B393">
        <v>55</v>
      </c>
      <c r="C393">
        <v>22</v>
      </c>
      <c r="D393" s="1">
        <v>46032.776388888888</v>
      </c>
      <c r="E393">
        <v>499</v>
      </c>
      <c r="F393" t="s">
        <v>12</v>
      </c>
      <c r="G393" t="s">
        <v>10</v>
      </c>
      <c r="H393">
        <v>36</v>
      </c>
      <c r="I393" t="str">
        <f>IFERROR(VLOOKUP(C393, merchants!$A$2:$D$41, 2, FALSE), "Merchant not found")</f>
        <v>Merchant_022</v>
      </c>
      <c r="J393" t="str">
        <f>IFERROR(VLOOKUP(C393, merchants!$A$2:$D$41, 3, FALSE), "Merchant not found")</f>
        <v>travel</v>
      </c>
      <c r="K393" t="str">
        <f>IFERROR(VLOOKUP(C393, merchants!$A$2:$D$41, 4, FALSE), "Merchant not found")</f>
        <v>South</v>
      </c>
      <c r="L393" s="2">
        <f>HLOOKUP(F393, merchants!$F$1:$I$2, 2, FALSE)</f>
        <v>0</v>
      </c>
      <c r="M393" t="str">
        <f t="shared" si="12"/>
        <v>Regular</v>
      </c>
      <c r="N393" s="5">
        <f t="shared" si="13"/>
        <v>46032</v>
      </c>
    </row>
    <row r="394" spans="1:14" x14ac:dyDescent="0.3">
      <c r="A394" t="s">
        <v>407</v>
      </c>
      <c r="B394">
        <v>269</v>
      </c>
      <c r="C394">
        <v>32</v>
      </c>
      <c r="D394" s="1">
        <v>46037.856944444444</v>
      </c>
      <c r="E394">
        <v>49</v>
      </c>
      <c r="F394" t="s">
        <v>24</v>
      </c>
      <c r="G394" t="s">
        <v>10</v>
      </c>
      <c r="H394">
        <v>17</v>
      </c>
      <c r="I394" t="str">
        <f>IFERROR(VLOOKUP(C394, merchants!$A$2:$D$41, 2, FALSE), "Merchant not found")</f>
        <v>Merchant_032</v>
      </c>
      <c r="J394" t="str">
        <f>IFERROR(VLOOKUP(C394, merchants!$A$2:$D$41, 3, FALSE), "Merchant not found")</f>
        <v>food_delivery</v>
      </c>
      <c r="K394" t="str">
        <f>IFERROR(VLOOKUP(C394, merchants!$A$2:$D$41, 4, FALSE), "Merchant not found")</f>
        <v>West</v>
      </c>
      <c r="L394" s="2">
        <f>HLOOKUP(F394, merchants!$F$1:$I$2, 2, FALSE)</f>
        <v>0.02</v>
      </c>
      <c r="M394" t="str">
        <f t="shared" si="12"/>
        <v>Regular</v>
      </c>
      <c r="N394" s="5">
        <f t="shared" si="13"/>
        <v>46037</v>
      </c>
    </row>
    <row r="395" spans="1:14" x14ac:dyDescent="0.3">
      <c r="A395" t="s">
        <v>408</v>
      </c>
      <c r="B395">
        <v>140</v>
      </c>
      <c r="C395">
        <v>13</v>
      </c>
      <c r="D395" s="1">
        <v>46050.686805555553</v>
      </c>
      <c r="E395">
        <v>2999</v>
      </c>
      <c r="F395" t="s">
        <v>12</v>
      </c>
      <c r="G395" t="s">
        <v>10</v>
      </c>
      <c r="H395">
        <v>14</v>
      </c>
      <c r="I395" t="str">
        <f>IFERROR(VLOOKUP(C395, merchants!$A$2:$D$41, 2, FALSE), "Merchant not found")</f>
        <v>Merchant_013</v>
      </c>
      <c r="J395" t="str">
        <f>IFERROR(VLOOKUP(C395, merchants!$A$2:$D$41, 3, FALSE), "Merchant not found")</f>
        <v>travel</v>
      </c>
      <c r="K395" t="str">
        <f>IFERROR(VLOOKUP(C395, merchants!$A$2:$D$41, 4, FALSE), "Merchant not found")</f>
        <v>East</v>
      </c>
      <c r="L395" s="2">
        <f>HLOOKUP(F395, merchants!$F$1:$I$2, 2, FALSE)</f>
        <v>0</v>
      </c>
      <c r="M395" t="str">
        <f t="shared" si="12"/>
        <v>Regular</v>
      </c>
      <c r="N395" s="5">
        <f t="shared" si="13"/>
        <v>46050</v>
      </c>
    </row>
    <row r="396" spans="1:14" x14ac:dyDescent="0.3">
      <c r="A396" t="s">
        <v>409</v>
      </c>
      <c r="B396">
        <v>235</v>
      </c>
      <c r="C396">
        <v>17</v>
      </c>
      <c r="D396" s="1">
        <v>46033.240277777775</v>
      </c>
      <c r="E396">
        <v>2999</v>
      </c>
      <c r="F396" t="s">
        <v>12</v>
      </c>
      <c r="G396" t="s">
        <v>10</v>
      </c>
      <c r="H396">
        <v>91</v>
      </c>
      <c r="I396" t="str">
        <f>IFERROR(VLOOKUP(C396, merchants!$A$2:$D$41, 2, FALSE), "Merchant not found")</f>
        <v>Merchant_017</v>
      </c>
      <c r="J396" t="str">
        <f>IFERROR(VLOOKUP(C396, merchants!$A$2:$D$41, 3, FALSE), "Merchant not found")</f>
        <v>grocery</v>
      </c>
      <c r="K396" t="str">
        <f>IFERROR(VLOOKUP(C396, merchants!$A$2:$D$41, 4, FALSE), "Merchant not found")</f>
        <v>North</v>
      </c>
      <c r="L396" s="2">
        <f>HLOOKUP(F396, merchants!$F$1:$I$2, 2, FALSE)</f>
        <v>0</v>
      </c>
      <c r="M396" t="str">
        <f t="shared" si="12"/>
        <v>High-Value Day</v>
      </c>
      <c r="N396" s="5">
        <f t="shared" si="13"/>
        <v>46033</v>
      </c>
    </row>
    <row r="397" spans="1:14" x14ac:dyDescent="0.3">
      <c r="A397" t="s">
        <v>410</v>
      </c>
      <c r="B397">
        <v>173</v>
      </c>
      <c r="C397">
        <v>19</v>
      </c>
      <c r="D397" s="1">
        <v>46028.032638888886</v>
      </c>
      <c r="E397">
        <v>499</v>
      </c>
      <c r="F397" t="s">
        <v>12</v>
      </c>
      <c r="G397" t="s">
        <v>25</v>
      </c>
      <c r="H397">
        <v>72</v>
      </c>
      <c r="I397" t="str">
        <f>IFERROR(VLOOKUP(C397, merchants!$A$2:$D$41, 2, FALSE), "Merchant not found")</f>
        <v>Merchant_019</v>
      </c>
      <c r="J397" t="str">
        <f>IFERROR(VLOOKUP(C397, merchants!$A$2:$D$41, 3, FALSE), "Merchant not found")</f>
        <v>grocery</v>
      </c>
      <c r="K397" t="str">
        <f>IFERROR(VLOOKUP(C397, merchants!$A$2:$D$41, 4, FALSE), "Merchant not found")</f>
        <v>North</v>
      </c>
      <c r="L397" s="2">
        <f>HLOOKUP(F397, merchants!$F$1:$I$2, 2, FALSE)</f>
        <v>0</v>
      </c>
      <c r="M397" t="str">
        <f t="shared" si="12"/>
        <v>Regular</v>
      </c>
      <c r="N397" s="5">
        <f t="shared" si="13"/>
        <v>46028</v>
      </c>
    </row>
    <row r="398" spans="1:14" x14ac:dyDescent="0.3">
      <c r="A398" t="s">
        <v>411</v>
      </c>
      <c r="B398">
        <v>313</v>
      </c>
      <c r="C398">
        <v>26</v>
      </c>
      <c r="D398" s="1">
        <v>46044.257638888892</v>
      </c>
      <c r="E398">
        <v>499</v>
      </c>
      <c r="F398" t="s">
        <v>12</v>
      </c>
      <c r="G398" t="s">
        <v>10</v>
      </c>
      <c r="H398">
        <v>54</v>
      </c>
      <c r="I398" t="str">
        <f>IFERROR(VLOOKUP(C398, merchants!$A$2:$D$41, 2, FALSE), "Merchant not found")</f>
        <v>Merchant_026</v>
      </c>
      <c r="J398" t="str">
        <f>IFERROR(VLOOKUP(C398, merchants!$A$2:$D$41, 3, FALSE), "Merchant not found")</f>
        <v>food_delivery</v>
      </c>
      <c r="K398" t="str">
        <f>IFERROR(VLOOKUP(C398, merchants!$A$2:$D$41, 4, FALSE), "Merchant not found")</f>
        <v>East</v>
      </c>
      <c r="L398" s="2">
        <f>HLOOKUP(F398, merchants!$F$1:$I$2, 2, FALSE)</f>
        <v>0</v>
      </c>
      <c r="M398" t="str">
        <f t="shared" si="12"/>
        <v>Regular</v>
      </c>
      <c r="N398" s="5">
        <f t="shared" si="13"/>
        <v>46044</v>
      </c>
    </row>
    <row r="399" spans="1:14" x14ac:dyDescent="0.3">
      <c r="A399" t="s">
        <v>412</v>
      </c>
      <c r="B399">
        <v>206</v>
      </c>
      <c r="C399">
        <v>7</v>
      </c>
      <c r="D399" s="1">
        <v>46039.420138888891</v>
      </c>
      <c r="E399">
        <v>149</v>
      </c>
      <c r="F399" t="s">
        <v>9</v>
      </c>
      <c r="G399" t="s">
        <v>10</v>
      </c>
      <c r="H399">
        <v>23</v>
      </c>
      <c r="I399" t="str">
        <f>IFERROR(VLOOKUP(C399, merchants!$A$2:$D$41, 2, FALSE), "Merchant not found")</f>
        <v>Merchant_007</v>
      </c>
      <c r="J399" t="str">
        <f>IFERROR(VLOOKUP(C399, merchants!$A$2:$D$41, 3, FALSE), "Merchant not found")</f>
        <v>food_delivery</v>
      </c>
      <c r="K399" t="str">
        <f>IFERROR(VLOOKUP(C399, merchants!$A$2:$D$41, 4, FALSE), "Merchant not found")</f>
        <v>East</v>
      </c>
      <c r="L399" s="2">
        <f>HLOOKUP(F399, merchants!$F$1:$I$2, 2, FALSE)</f>
        <v>1.4999999999999999E-2</v>
      </c>
      <c r="M399" t="str">
        <f t="shared" si="12"/>
        <v>Regular</v>
      </c>
      <c r="N399" s="5">
        <f t="shared" si="13"/>
        <v>46039</v>
      </c>
    </row>
    <row r="400" spans="1:14" x14ac:dyDescent="0.3">
      <c r="A400" t="s">
        <v>413</v>
      </c>
      <c r="B400">
        <v>128</v>
      </c>
      <c r="C400">
        <v>1</v>
      </c>
      <c r="D400" s="1">
        <v>46027.638888888891</v>
      </c>
      <c r="E400">
        <v>1499</v>
      </c>
      <c r="F400" t="s">
        <v>15</v>
      </c>
      <c r="G400" t="s">
        <v>10</v>
      </c>
      <c r="H400">
        <v>33</v>
      </c>
      <c r="I400" t="str">
        <f>IFERROR(VLOOKUP(C400, merchants!$A$2:$D$41, 2, FALSE), "Merchant not found")</f>
        <v>Merchant_001</v>
      </c>
      <c r="J400" t="str">
        <f>IFERROR(VLOOKUP(C400, merchants!$A$2:$D$41, 3, FALSE), "Merchant not found")</f>
        <v>ecommerce</v>
      </c>
      <c r="K400" t="str">
        <f>IFERROR(VLOOKUP(C400, merchants!$A$2:$D$41, 4, FALSE), "Merchant not found")</f>
        <v>South</v>
      </c>
      <c r="L400" s="2">
        <f>HLOOKUP(F400, merchants!$F$1:$I$2, 2, FALSE)</f>
        <v>1.7999999999999999E-2</v>
      </c>
      <c r="M400" t="str">
        <f t="shared" si="12"/>
        <v>Regular</v>
      </c>
      <c r="N400" s="5">
        <f t="shared" si="13"/>
        <v>46027</v>
      </c>
    </row>
    <row r="401" spans="1:14" x14ac:dyDescent="0.3">
      <c r="A401" t="s">
        <v>414</v>
      </c>
      <c r="B401">
        <v>137</v>
      </c>
      <c r="C401">
        <v>22</v>
      </c>
      <c r="D401" s="1">
        <v>46035.311111111114</v>
      </c>
      <c r="E401">
        <v>799</v>
      </c>
      <c r="F401" t="s">
        <v>12</v>
      </c>
      <c r="G401" t="s">
        <v>25</v>
      </c>
      <c r="H401">
        <v>38</v>
      </c>
      <c r="I401" t="str">
        <f>IFERROR(VLOOKUP(C401, merchants!$A$2:$D$41, 2, FALSE), "Merchant not found")</f>
        <v>Merchant_022</v>
      </c>
      <c r="J401" t="str">
        <f>IFERROR(VLOOKUP(C401, merchants!$A$2:$D$41, 3, FALSE), "Merchant not found")</f>
        <v>travel</v>
      </c>
      <c r="K401" t="str">
        <f>IFERROR(VLOOKUP(C401, merchants!$A$2:$D$41, 4, FALSE), "Merchant not found")</f>
        <v>South</v>
      </c>
      <c r="L401" s="2">
        <f>HLOOKUP(F401, merchants!$F$1:$I$2, 2, FALSE)</f>
        <v>0</v>
      </c>
      <c r="M401" t="str">
        <f t="shared" si="12"/>
        <v>High-Value Day</v>
      </c>
      <c r="N401" s="5">
        <f t="shared" si="13"/>
        <v>46035</v>
      </c>
    </row>
    <row r="402" spans="1:14" x14ac:dyDescent="0.3">
      <c r="A402" t="s">
        <v>415</v>
      </c>
      <c r="B402">
        <v>6</v>
      </c>
      <c r="C402">
        <v>17</v>
      </c>
      <c r="D402" s="1">
        <v>46041.98333333333</v>
      </c>
      <c r="E402">
        <v>49</v>
      </c>
      <c r="F402" t="s">
        <v>12</v>
      </c>
      <c r="G402" t="s">
        <v>10</v>
      </c>
      <c r="H402">
        <v>83</v>
      </c>
      <c r="I402" t="str">
        <f>IFERROR(VLOOKUP(C402, merchants!$A$2:$D$41, 2, FALSE), "Merchant not found")</f>
        <v>Merchant_017</v>
      </c>
      <c r="J402" t="str">
        <f>IFERROR(VLOOKUP(C402, merchants!$A$2:$D$41, 3, FALSE), "Merchant not found")</f>
        <v>grocery</v>
      </c>
      <c r="K402" t="str">
        <f>IFERROR(VLOOKUP(C402, merchants!$A$2:$D$41, 4, FALSE), "Merchant not found")</f>
        <v>North</v>
      </c>
      <c r="L402" s="2">
        <f>HLOOKUP(F402, merchants!$F$1:$I$2, 2, FALSE)</f>
        <v>0</v>
      </c>
      <c r="M402" t="str">
        <f t="shared" si="12"/>
        <v>Regular</v>
      </c>
      <c r="N402" s="5">
        <f t="shared" si="13"/>
        <v>46041</v>
      </c>
    </row>
    <row r="403" spans="1:14" x14ac:dyDescent="0.3">
      <c r="A403" t="s">
        <v>416</v>
      </c>
      <c r="B403">
        <v>32</v>
      </c>
      <c r="C403">
        <v>8</v>
      </c>
      <c r="D403" s="1">
        <v>46034.927083333336</v>
      </c>
      <c r="E403">
        <v>299</v>
      </c>
      <c r="F403" t="s">
        <v>24</v>
      </c>
      <c r="G403" t="s">
        <v>10</v>
      </c>
      <c r="H403">
        <v>59</v>
      </c>
      <c r="I403" t="str">
        <f>IFERROR(VLOOKUP(C403, merchants!$A$2:$D$41, 2, FALSE), "Merchant not found")</f>
        <v>Merchant_008</v>
      </c>
      <c r="J403" t="str">
        <f>IFERROR(VLOOKUP(C403, merchants!$A$2:$D$41, 3, FALSE), "Merchant not found")</f>
        <v>food_delivery</v>
      </c>
      <c r="K403" t="str">
        <f>IFERROR(VLOOKUP(C403, merchants!$A$2:$D$41, 4, FALSE), "Merchant not found")</f>
        <v>North</v>
      </c>
      <c r="L403" s="2">
        <f>HLOOKUP(F403, merchants!$F$1:$I$2, 2, FALSE)</f>
        <v>0.02</v>
      </c>
      <c r="M403" t="str">
        <f t="shared" si="12"/>
        <v>Regular</v>
      </c>
      <c r="N403" s="5">
        <f t="shared" si="13"/>
        <v>46034</v>
      </c>
    </row>
    <row r="404" spans="1:14" x14ac:dyDescent="0.3">
      <c r="A404" t="s">
        <v>417</v>
      </c>
      <c r="B404">
        <v>258</v>
      </c>
      <c r="C404">
        <v>20</v>
      </c>
      <c r="D404" s="1">
        <v>46032.225694444445</v>
      </c>
      <c r="E404">
        <v>149</v>
      </c>
      <c r="F404" t="s">
        <v>12</v>
      </c>
      <c r="G404" t="s">
        <v>10</v>
      </c>
      <c r="H404">
        <v>88</v>
      </c>
      <c r="I404" t="str">
        <f>IFERROR(VLOOKUP(C404, merchants!$A$2:$D$41, 2, FALSE), "Merchant not found")</f>
        <v>Merchant_020</v>
      </c>
      <c r="J404" t="str">
        <f>IFERROR(VLOOKUP(C404, merchants!$A$2:$D$41, 3, FALSE), "Merchant not found")</f>
        <v>food_delivery</v>
      </c>
      <c r="K404" t="str">
        <f>IFERROR(VLOOKUP(C404, merchants!$A$2:$D$41, 4, FALSE), "Merchant not found")</f>
        <v>East</v>
      </c>
      <c r="L404" s="2">
        <f>HLOOKUP(F404, merchants!$F$1:$I$2, 2, FALSE)</f>
        <v>0</v>
      </c>
      <c r="M404" t="str">
        <f t="shared" si="12"/>
        <v>Regular</v>
      </c>
      <c r="N404" s="5">
        <f t="shared" si="13"/>
        <v>46032</v>
      </c>
    </row>
    <row r="405" spans="1:14" x14ac:dyDescent="0.3">
      <c r="A405" t="s">
        <v>418</v>
      </c>
      <c r="B405">
        <v>152</v>
      </c>
      <c r="C405">
        <v>24</v>
      </c>
      <c r="D405" s="1">
        <v>46026.873611111114</v>
      </c>
      <c r="E405">
        <v>149</v>
      </c>
      <c r="F405" t="s">
        <v>12</v>
      </c>
      <c r="G405" t="s">
        <v>38</v>
      </c>
      <c r="H405">
        <v>78</v>
      </c>
      <c r="I405" t="str">
        <f>IFERROR(VLOOKUP(C405, merchants!$A$2:$D$41, 2, FALSE), "Merchant not found")</f>
        <v>Merchant_024</v>
      </c>
      <c r="J405" t="str">
        <f>IFERROR(VLOOKUP(C405, merchants!$A$2:$D$41, 3, FALSE), "Merchant not found")</f>
        <v>grocery</v>
      </c>
      <c r="K405" t="str">
        <f>IFERROR(VLOOKUP(C405, merchants!$A$2:$D$41, 4, FALSE), "Merchant not found")</f>
        <v>North</v>
      </c>
      <c r="L405" s="2">
        <f>HLOOKUP(F405, merchants!$F$1:$I$2, 2, FALSE)</f>
        <v>0</v>
      </c>
      <c r="M405" t="str">
        <f t="shared" si="12"/>
        <v>Regular</v>
      </c>
      <c r="N405" s="5">
        <f t="shared" si="13"/>
        <v>46026</v>
      </c>
    </row>
    <row r="406" spans="1:14" x14ac:dyDescent="0.3">
      <c r="A406" t="s">
        <v>419</v>
      </c>
      <c r="B406">
        <v>245</v>
      </c>
      <c r="C406">
        <v>10</v>
      </c>
      <c r="D406" s="1">
        <v>46030.297222222223</v>
      </c>
      <c r="E406">
        <v>799</v>
      </c>
      <c r="F406" t="s">
        <v>9</v>
      </c>
      <c r="G406" t="s">
        <v>10</v>
      </c>
      <c r="H406">
        <v>58</v>
      </c>
      <c r="I406" t="str">
        <f>IFERROR(VLOOKUP(C406, merchants!$A$2:$D$41, 2, FALSE), "Merchant not found")</f>
        <v>Merchant_010</v>
      </c>
      <c r="J406" t="str">
        <f>IFERROR(VLOOKUP(C406, merchants!$A$2:$D$41, 3, FALSE), "Merchant not found")</f>
        <v>grocery</v>
      </c>
      <c r="K406" t="str">
        <f>IFERROR(VLOOKUP(C406, merchants!$A$2:$D$41, 4, FALSE), "Merchant not found")</f>
        <v>West</v>
      </c>
      <c r="L406" s="2">
        <f>HLOOKUP(F406, merchants!$F$1:$I$2, 2, FALSE)</f>
        <v>1.4999999999999999E-2</v>
      </c>
      <c r="M406" t="str">
        <f t="shared" si="12"/>
        <v>Regular</v>
      </c>
      <c r="N406" s="5">
        <f t="shared" si="13"/>
        <v>46030</v>
      </c>
    </row>
    <row r="407" spans="1:14" x14ac:dyDescent="0.3">
      <c r="A407" t="s">
        <v>420</v>
      </c>
      <c r="B407">
        <v>213</v>
      </c>
      <c r="C407">
        <v>36</v>
      </c>
      <c r="D407" s="1">
        <v>46046.807638888888</v>
      </c>
      <c r="E407">
        <v>49</v>
      </c>
      <c r="F407" t="s">
        <v>9</v>
      </c>
      <c r="G407" t="s">
        <v>10</v>
      </c>
      <c r="H407">
        <v>60</v>
      </c>
      <c r="I407" t="str">
        <f>IFERROR(VLOOKUP(C407, merchants!$A$2:$D$41, 2, FALSE), "Merchant not found")</f>
        <v>Merchant_036</v>
      </c>
      <c r="J407" t="str">
        <f>IFERROR(VLOOKUP(C407, merchants!$A$2:$D$41, 3, FALSE), "Merchant not found")</f>
        <v>entertainment</v>
      </c>
      <c r="K407" t="str">
        <f>IFERROR(VLOOKUP(C407, merchants!$A$2:$D$41, 4, FALSE), "Merchant not found")</f>
        <v>East</v>
      </c>
      <c r="L407" s="2">
        <f>HLOOKUP(F407, merchants!$F$1:$I$2, 2, FALSE)</f>
        <v>1.4999999999999999E-2</v>
      </c>
      <c r="M407" t="str">
        <f t="shared" si="12"/>
        <v>Regular</v>
      </c>
      <c r="N407" s="5">
        <f t="shared" si="13"/>
        <v>46046</v>
      </c>
    </row>
    <row r="408" spans="1:14" x14ac:dyDescent="0.3">
      <c r="A408" t="s">
        <v>421</v>
      </c>
      <c r="B408">
        <v>341</v>
      </c>
      <c r="C408">
        <v>14</v>
      </c>
      <c r="D408" s="1">
        <v>46047.743750000001</v>
      </c>
      <c r="E408">
        <v>99</v>
      </c>
      <c r="F408" t="s">
        <v>15</v>
      </c>
      <c r="G408" t="s">
        <v>10</v>
      </c>
      <c r="H408">
        <v>97</v>
      </c>
      <c r="I408" t="str">
        <f>IFERROR(VLOOKUP(C408, merchants!$A$2:$D$41, 2, FALSE), "Merchant not found")</f>
        <v>Merchant_014</v>
      </c>
      <c r="J408" t="str">
        <f>IFERROR(VLOOKUP(C408, merchants!$A$2:$D$41, 3, FALSE), "Merchant not found")</f>
        <v>grocery</v>
      </c>
      <c r="K408" t="str">
        <f>IFERROR(VLOOKUP(C408, merchants!$A$2:$D$41, 4, FALSE), "Merchant not found")</f>
        <v>East</v>
      </c>
      <c r="L408" s="2">
        <f>HLOOKUP(F408, merchants!$F$1:$I$2, 2, FALSE)</f>
        <v>1.7999999999999999E-2</v>
      </c>
      <c r="M408" t="str">
        <f t="shared" si="12"/>
        <v>Regular</v>
      </c>
      <c r="N408" s="5">
        <f t="shared" si="13"/>
        <v>46047</v>
      </c>
    </row>
    <row r="409" spans="1:14" x14ac:dyDescent="0.3">
      <c r="A409" t="s">
        <v>422</v>
      </c>
      <c r="B409">
        <v>306</v>
      </c>
      <c r="C409">
        <v>6</v>
      </c>
      <c r="D409" s="1">
        <v>46030.908333333333</v>
      </c>
      <c r="E409">
        <v>149</v>
      </c>
      <c r="F409" t="s">
        <v>15</v>
      </c>
      <c r="G409" t="s">
        <v>10</v>
      </c>
      <c r="H409">
        <v>67</v>
      </c>
      <c r="I409" t="str">
        <f>IFERROR(VLOOKUP(C409, merchants!$A$2:$D$41, 2, FALSE), "Merchant not found")</f>
        <v>Merchant_006</v>
      </c>
      <c r="J409" t="str">
        <f>IFERROR(VLOOKUP(C409, merchants!$A$2:$D$41, 3, FALSE), "Merchant not found")</f>
        <v>food_delivery</v>
      </c>
      <c r="K409" t="str">
        <f>IFERROR(VLOOKUP(C409, merchants!$A$2:$D$41, 4, FALSE), "Merchant not found")</f>
        <v>South</v>
      </c>
      <c r="L409" s="2">
        <f>HLOOKUP(F409, merchants!$F$1:$I$2, 2, FALSE)</f>
        <v>1.7999999999999999E-2</v>
      </c>
      <c r="M409" t="str">
        <f t="shared" si="12"/>
        <v>Regular</v>
      </c>
      <c r="N409" s="5">
        <f t="shared" si="13"/>
        <v>46030</v>
      </c>
    </row>
    <row r="410" spans="1:14" x14ac:dyDescent="0.3">
      <c r="A410" t="s">
        <v>423</v>
      </c>
      <c r="B410">
        <v>186</v>
      </c>
      <c r="C410">
        <v>5</v>
      </c>
      <c r="D410" s="1">
        <v>46037.697916666664</v>
      </c>
      <c r="E410">
        <v>499</v>
      </c>
      <c r="F410" t="s">
        <v>12</v>
      </c>
      <c r="G410" t="s">
        <v>10</v>
      </c>
      <c r="H410">
        <v>72</v>
      </c>
      <c r="I410" t="str">
        <f>IFERROR(VLOOKUP(C410, merchants!$A$2:$D$41, 2, FALSE), "Merchant not found")</f>
        <v>Merchant_005</v>
      </c>
      <c r="J410" t="str">
        <f>IFERROR(VLOOKUP(C410, merchants!$A$2:$D$41, 3, FALSE), "Merchant not found")</f>
        <v>recharge</v>
      </c>
      <c r="K410" t="str">
        <f>IFERROR(VLOOKUP(C410, merchants!$A$2:$D$41, 4, FALSE), "Merchant not found")</f>
        <v>South</v>
      </c>
      <c r="L410" s="2">
        <f>HLOOKUP(F410, merchants!$F$1:$I$2, 2, FALSE)</f>
        <v>0</v>
      </c>
      <c r="M410" t="str">
        <f t="shared" si="12"/>
        <v>Regular</v>
      </c>
      <c r="N410" s="5">
        <f t="shared" si="13"/>
        <v>46037</v>
      </c>
    </row>
    <row r="411" spans="1:14" x14ac:dyDescent="0.3">
      <c r="A411" t="s">
        <v>424</v>
      </c>
      <c r="B411">
        <v>281</v>
      </c>
      <c r="C411">
        <v>33</v>
      </c>
      <c r="D411" s="1">
        <v>46026.078472222223</v>
      </c>
      <c r="E411">
        <v>4999</v>
      </c>
      <c r="F411" t="s">
        <v>12</v>
      </c>
      <c r="G411" t="s">
        <v>10</v>
      </c>
      <c r="H411">
        <v>25</v>
      </c>
      <c r="I411" t="str">
        <f>IFERROR(VLOOKUP(C411, merchants!$A$2:$D$41, 2, FALSE), "Merchant not found")</f>
        <v>Merchant_033</v>
      </c>
      <c r="J411" t="str">
        <f>IFERROR(VLOOKUP(C411, merchants!$A$2:$D$41, 3, FALSE), "Merchant not found")</f>
        <v>bill_payment</v>
      </c>
      <c r="K411" t="str">
        <f>IFERROR(VLOOKUP(C411, merchants!$A$2:$D$41, 4, FALSE), "Merchant not found")</f>
        <v>East</v>
      </c>
      <c r="L411" s="2">
        <f>HLOOKUP(F411, merchants!$F$1:$I$2, 2, FALSE)</f>
        <v>0</v>
      </c>
      <c r="M411" t="str">
        <f t="shared" si="12"/>
        <v>Regular</v>
      </c>
      <c r="N411" s="5">
        <f t="shared" si="13"/>
        <v>46026</v>
      </c>
    </row>
    <row r="412" spans="1:14" x14ac:dyDescent="0.3">
      <c r="A412" t="s">
        <v>425</v>
      </c>
      <c r="B412">
        <v>85</v>
      </c>
      <c r="C412">
        <v>21</v>
      </c>
      <c r="D412" s="1">
        <v>46041.714583333334</v>
      </c>
      <c r="E412">
        <v>99</v>
      </c>
      <c r="F412" t="s">
        <v>12</v>
      </c>
      <c r="G412" t="s">
        <v>10</v>
      </c>
      <c r="H412">
        <v>66</v>
      </c>
      <c r="I412" t="str">
        <f>IFERROR(VLOOKUP(C412, merchants!$A$2:$D$41, 2, FALSE), "Merchant not found")</f>
        <v>Merchant_021</v>
      </c>
      <c r="J412" t="str">
        <f>IFERROR(VLOOKUP(C412, merchants!$A$2:$D$41, 3, FALSE), "Merchant not found")</f>
        <v>food_delivery</v>
      </c>
      <c r="K412" t="str">
        <f>IFERROR(VLOOKUP(C412, merchants!$A$2:$D$41, 4, FALSE), "Merchant not found")</f>
        <v>East</v>
      </c>
      <c r="L412" s="2">
        <f>HLOOKUP(F412, merchants!$F$1:$I$2, 2, FALSE)</f>
        <v>0</v>
      </c>
      <c r="M412" t="str">
        <f t="shared" si="12"/>
        <v>Regular</v>
      </c>
      <c r="N412" s="5">
        <f t="shared" si="13"/>
        <v>46041</v>
      </c>
    </row>
    <row r="413" spans="1:14" x14ac:dyDescent="0.3">
      <c r="A413" t="s">
        <v>426</v>
      </c>
      <c r="B413">
        <v>106</v>
      </c>
      <c r="C413">
        <v>38</v>
      </c>
      <c r="D413" s="1">
        <v>46037.154861111114</v>
      </c>
      <c r="E413">
        <v>499</v>
      </c>
      <c r="F413" t="s">
        <v>12</v>
      </c>
      <c r="G413" t="s">
        <v>10</v>
      </c>
      <c r="H413">
        <v>62</v>
      </c>
      <c r="I413" t="str">
        <f>IFERROR(VLOOKUP(C413, merchants!$A$2:$D$41, 2, FALSE), "Merchant not found")</f>
        <v>Merchant_038</v>
      </c>
      <c r="J413" t="str">
        <f>IFERROR(VLOOKUP(C413, merchants!$A$2:$D$41, 3, FALSE), "Merchant not found")</f>
        <v>grocery</v>
      </c>
      <c r="K413" t="str">
        <f>IFERROR(VLOOKUP(C413, merchants!$A$2:$D$41, 4, FALSE), "Merchant not found")</f>
        <v>East</v>
      </c>
      <c r="L413" s="2">
        <f>HLOOKUP(F413, merchants!$F$1:$I$2, 2, FALSE)</f>
        <v>0</v>
      </c>
      <c r="M413" t="str">
        <f t="shared" si="12"/>
        <v>Regular</v>
      </c>
      <c r="N413" s="5">
        <f t="shared" si="13"/>
        <v>46037</v>
      </c>
    </row>
    <row r="414" spans="1:14" x14ac:dyDescent="0.3">
      <c r="A414" t="s">
        <v>427</v>
      </c>
      <c r="B414">
        <v>29</v>
      </c>
      <c r="C414">
        <v>30</v>
      </c>
      <c r="D414" s="1">
        <v>46025.686111111114</v>
      </c>
      <c r="E414">
        <v>149</v>
      </c>
      <c r="F414" t="s">
        <v>15</v>
      </c>
      <c r="G414" t="s">
        <v>10</v>
      </c>
      <c r="H414">
        <v>16</v>
      </c>
      <c r="I414" t="str">
        <f>IFERROR(VLOOKUP(C414, merchants!$A$2:$D$41, 2, FALSE), "Merchant not found")</f>
        <v>Merchant_030</v>
      </c>
      <c r="J414" t="str">
        <f>IFERROR(VLOOKUP(C414, merchants!$A$2:$D$41, 3, FALSE), "Merchant not found")</f>
        <v>travel</v>
      </c>
      <c r="K414" t="str">
        <f>IFERROR(VLOOKUP(C414, merchants!$A$2:$D$41, 4, FALSE), "Merchant not found")</f>
        <v>West</v>
      </c>
      <c r="L414" s="2">
        <f>HLOOKUP(F414, merchants!$F$1:$I$2, 2, FALSE)</f>
        <v>1.7999999999999999E-2</v>
      </c>
      <c r="M414" t="str">
        <f t="shared" si="12"/>
        <v>Regular</v>
      </c>
      <c r="N414" s="5">
        <f t="shared" si="13"/>
        <v>46025</v>
      </c>
    </row>
    <row r="415" spans="1:14" x14ac:dyDescent="0.3">
      <c r="A415" t="s">
        <v>428</v>
      </c>
      <c r="B415">
        <v>289</v>
      </c>
      <c r="C415">
        <v>4</v>
      </c>
      <c r="D415" s="1">
        <v>46039.561805555553</v>
      </c>
      <c r="E415">
        <v>1499</v>
      </c>
      <c r="F415" t="s">
        <v>24</v>
      </c>
      <c r="G415" t="s">
        <v>10</v>
      </c>
      <c r="H415">
        <v>71</v>
      </c>
      <c r="I415" t="str">
        <f>IFERROR(VLOOKUP(C415, merchants!$A$2:$D$41, 2, FALSE), "Merchant not found")</f>
        <v>Merchant_004</v>
      </c>
      <c r="J415" t="str">
        <f>IFERROR(VLOOKUP(C415, merchants!$A$2:$D$41, 3, FALSE), "Merchant not found")</f>
        <v>ecommerce</v>
      </c>
      <c r="K415" t="str">
        <f>IFERROR(VLOOKUP(C415, merchants!$A$2:$D$41, 4, FALSE), "Merchant not found")</f>
        <v>East</v>
      </c>
      <c r="L415" s="2">
        <f>HLOOKUP(F415, merchants!$F$1:$I$2, 2, FALSE)</f>
        <v>0.02</v>
      </c>
      <c r="M415" t="str">
        <f t="shared" si="12"/>
        <v>Regular</v>
      </c>
      <c r="N415" s="5">
        <f t="shared" si="13"/>
        <v>46039</v>
      </c>
    </row>
    <row r="416" spans="1:14" x14ac:dyDescent="0.3">
      <c r="A416" t="s">
        <v>429</v>
      </c>
      <c r="B416">
        <v>158</v>
      </c>
      <c r="C416">
        <v>2</v>
      </c>
      <c r="D416" s="1">
        <v>46037.910416666666</v>
      </c>
      <c r="E416">
        <v>1499</v>
      </c>
      <c r="F416" t="s">
        <v>24</v>
      </c>
      <c r="G416" t="s">
        <v>10</v>
      </c>
      <c r="H416">
        <v>50</v>
      </c>
      <c r="I416" t="str">
        <f>IFERROR(VLOOKUP(C416, merchants!$A$2:$D$41, 2, FALSE), "Merchant not found")</f>
        <v>Merchant_002</v>
      </c>
      <c r="J416" t="str">
        <f>IFERROR(VLOOKUP(C416, merchants!$A$2:$D$41, 3, FALSE), "Merchant not found")</f>
        <v>grocery</v>
      </c>
      <c r="K416" t="str">
        <f>IFERROR(VLOOKUP(C416, merchants!$A$2:$D$41, 4, FALSE), "Merchant not found")</f>
        <v>West</v>
      </c>
      <c r="L416" s="2">
        <f>HLOOKUP(F416, merchants!$F$1:$I$2, 2, FALSE)</f>
        <v>0.02</v>
      </c>
      <c r="M416" t="str">
        <f t="shared" si="12"/>
        <v>Regular</v>
      </c>
      <c r="N416" s="5">
        <f t="shared" si="13"/>
        <v>46037</v>
      </c>
    </row>
    <row r="417" spans="1:14" x14ac:dyDescent="0.3">
      <c r="A417" t="s">
        <v>430</v>
      </c>
      <c r="B417">
        <v>112</v>
      </c>
      <c r="C417">
        <v>38</v>
      </c>
      <c r="D417" s="1">
        <v>46031.032638888886</v>
      </c>
      <c r="E417">
        <v>49</v>
      </c>
      <c r="F417" t="s">
        <v>12</v>
      </c>
      <c r="G417" t="s">
        <v>10</v>
      </c>
      <c r="H417">
        <v>9</v>
      </c>
      <c r="I417" t="str">
        <f>IFERROR(VLOOKUP(C417, merchants!$A$2:$D$41, 2, FALSE), "Merchant not found")</f>
        <v>Merchant_038</v>
      </c>
      <c r="J417" t="str">
        <f>IFERROR(VLOOKUP(C417, merchants!$A$2:$D$41, 3, FALSE), "Merchant not found")</f>
        <v>grocery</v>
      </c>
      <c r="K417" t="str">
        <f>IFERROR(VLOOKUP(C417, merchants!$A$2:$D$41, 4, FALSE), "Merchant not found")</f>
        <v>East</v>
      </c>
      <c r="L417" s="2">
        <f>HLOOKUP(F417, merchants!$F$1:$I$2, 2, FALSE)</f>
        <v>0</v>
      </c>
      <c r="M417" t="str">
        <f t="shared" si="12"/>
        <v>Regular</v>
      </c>
      <c r="N417" s="5">
        <f t="shared" si="13"/>
        <v>46031</v>
      </c>
    </row>
    <row r="418" spans="1:14" x14ac:dyDescent="0.3">
      <c r="A418" t="s">
        <v>431</v>
      </c>
      <c r="B418">
        <v>33</v>
      </c>
      <c r="C418">
        <v>35</v>
      </c>
      <c r="D418" s="1">
        <v>46024.556944444441</v>
      </c>
      <c r="E418">
        <v>299</v>
      </c>
      <c r="F418" t="s">
        <v>24</v>
      </c>
      <c r="G418" t="s">
        <v>25</v>
      </c>
      <c r="H418">
        <v>7</v>
      </c>
      <c r="I418" t="str">
        <f>IFERROR(VLOOKUP(C418, merchants!$A$2:$D$41, 2, FALSE), "Merchant not found")</f>
        <v>Merchant_035</v>
      </c>
      <c r="J418" t="str">
        <f>IFERROR(VLOOKUP(C418, merchants!$A$2:$D$41, 3, FALSE), "Merchant not found")</f>
        <v>recharge</v>
      </c>
      <c r="K418" t="str">
        <f>IFERROR(VLOOKUP(C418, merchants!$A$2:$D$41, 4, FALSE), "Merchant not found")</f>
        <v>East</v>
      </c>
      <c r="L418" s="2">
        <f>HLOOKUP(F418, merchants!$F$1:$I$2, 2, FALSE)</f>
        <v>0.02</v>
      </c>
      <c r="M418" t="str">
        <f t="shared" si="12"/>
        <v>Regular</v>
      </c>
      <c r="N418" s="5">
        <f t="shared" si="13"/>
        <v>46024</v>
      </c>
    </row>
    <row r="419" spans="1:14" x14ac:dyDescent="0.3">
      <c r="A419" t="s">
        <v>432</v>
      </c>
      <c r="B419">
        <v>242</v>
      </c>
      <c r="C419">
        <v>3</v>
      </c>
      <c r="D419" s="1">
        <v>46052.124305555553</v>
      </c>
      <c r="E419">
        <v>49</v>
      </c>
      <c r="F419" t="s">
        <v>12</v>
      </c>
      <c r="G419" t="s">
        <v>10</v>
      </c>
      <c r="H419">
        <v>36</v>
      </c>
      <c r="I419" t="str">
        <f>IFERROR(VLOOKUP(C419, merchants!$A$2:$D$41, 2, FALSE), "Merchant not found")</f>
        <v>Merchant_003</v>
      </c>
      <c r="J419" t="str">
        <f>IFERROR(VLOOKUP(C419, merchants!$A$2:$D$41, 3, FALSE), "Merchant not found")</f>
        <v>grocery</v>
      </c>
      <c r="K419" t="str">
        <f>IFERROR(VLOOKUP(C419, merchants!$A$2:$D$41, 4, FALSE), "Merchant not found")</f>
        <v>East</v>
      </c>
      <c r="L419" s="2">
        <f>HLOOKUP(F419, merchants!$F$1:$I$2, 2, FALSE)</f>
        <v>0</v>
      </c>
      <c r="M419" t="str">
        <f t="shared" si="12"/>
        <v>Regular</v>
      </c>
      <c r="N419" s="5">
        <f t="shared" si="13"/>
        <v>46052</v>
      </c>
    </row>
    <row r="420" spans="1:14" x14ac:dyDescent="0.3">
      <c r="A420" t="s">
        <v>433</v>
      </c>
      <c r="B420">
        <v>70</v>
      </c>
      <c r="C420">
        <v>27</v>
      </c>
      <c r="D420" s="1">
        <v>46036.242361111108</v>
      </c>
      <c r="E420">
        <v>149</v>
      </c>
      <c r="F420" t="s">
        <v>12</v>
      </c>
      <c r="G420" t="s">
        <v>10</v>
      </c>
      <c r="H420">
        <v>47</v>
      </c>
      <c r="I420" t="str">
        <f>IFERROR(VLOOKUP(C420, merchants!$A$2:$D$41, 2, FALSE), "Merchant not found")</f>
        <v>Merchant_027</v>
      </c>
      <c r="J420" t="str">
        <f>IFERROR(VLOOKUP(C420, merchants!$A$2:$D$41, 3, FALSE), "Merchant not found")</f>
        <v>ecommerce</v>
      </c>
      <c r="K420" t="str">
        <f>IFERROR(VLOOKUP(C420, merchants!$A$2:$D$41, 4, FALSE), "Merchant not found")</f>
        <v>North</v>
      </c>
      <c r="L420" s="2">
        <f>HLOOKUP(F420, merchants!$F$1:$I$2, 2, FALSE)</f>
        <v>0</v>
      </c>
      <c r="M420" t="str">
        <f t="shared" si="12"/>
        <v>Regular</v>
      </c>
      <c r="N420" s="5">
        <f t="shared" si="13"/>
        <v>46036</v>
      </c>
    </row>
    <row r="421" spans="1:14" x14ac:dyDescent="0.3">
      <c r="A421" t="s">
        <v>434</v>
      </c>
      <c r="B421">
        <v>194</v>
      </c>
      <c r="C421">
        <v>25</v>
      </c>
      <c r="D421" s="1">
        <v>46051.519444444442</v>
      </c>
      <c r="E421">
        <v>49</v>
      </c>
      <c r="F421" t="s">
        <v>9</v>
      </c>
      <c r="G421" t="s">
        <v>10</v>
      </c>
      <c r="H421">
        <v>10</v>
      </c>
      <c r="I421" t="str">
        <f>IFERROR(VLOOKUP(C421, merchants!$A$2:$D$41, 2, FALSE), "Merchant not found")</f>
        <v>Merchant_025</v>
      </c>
      <c r="J421" t="str">
        <f>IFERROR(VLOOKUP(C421, merchants!$A$2:$D$41, 3, FALSE), "Merchant not found")</f>
        <v>travel</v>
      </c>
      <c r="K421" t="str">
        <f>IFERROR(VLOOKUP(C421, merchants!$A$2:$D$41, 4, FALSE), "Merchant not found")</f>
        <v>South</v>
      </c>
      <c r="L421" s="2">
        <f>HLOOKUP(F421, merchants!$F$1:$I$2, 2, FALSE)</f>
        <v>1.4999999999999999E-2</v>
      </c>
      <c r="M421" t="str">
        <f t="shared" si="12"/>
        <v>Regular</v>
      </c>
      <c r="N421" s="5">
        <f t="shared" si="13"/>
        <v>46051</v>
      </c>
    </row>
    <row r="422" spans="1:14" x14ac:dyDescent="0.3">
      <c r="A422" t="s">
        <v>435</v>
      </c>
      <c r="B422">
        <v>277</v>
      </c>
      <c r="C422">
        <v>9</v>
      </c>
      <c r="D422" s="1">
        <v>46044.913194444445</v>
      </c>
      <c r="E422">
        <v>799</v>
      </c>
      <c r="F422" t="s">
        <v>12</v>
      </c>
      <c r="G422" t="s">
        <v>10</v>
      </c>
      <c r="H422">
        <v>83</v>
      </c>
      <c r="I422" t="str">
        <f>IFERROR(VLOOKUP(C422, merchants!$A$2:$D$41, 2, FALSE), "Merchant not found")</f>
        <v>Merchant_009</v>
      </c>
      <c r="J422" t="str">
        <f>IFERROR(VLOOKUP(C422, merchants!$A$2:$D$41, 3, FALSE), "Merchant not found")</f>
        <v>ecommerce</v>
      </c>
      <c r="K422" t="str">
        <f>IFERROR(VLOOKUP(C422, merchants!$A$2:$D$41, 4, FALSE), "Merchant not found")</f>
        <v>North</v>
      </c>
      <c r="L422" s="2">
        <f>HLOOKUP(F422, merchants!$F$1:$I$2, 2, FALSE)</f>
        <v>0</v>
      </c>
      <c r="M422" t="str">
        <f t="shared" si="12"/>
        <v>Regular</v>
      </c>
      <c r="N422" s="5">
        <f t="shared" si="13"/>
        <v>46044</v>
      </c>
    </row>
    <row r="423" spans="1:14" x14ac:dyDescent="0.3">
      <c r="A423" t="s">
        <v>436</v>
      </c>
      <c r="B423">
        <v>92</v>
      </c>
      <c r="C423">
        <v>35</v>
      </c>
      <c r="D423" s="1">
        <v>46050.463194444441</v>
      </c>
      <c r="E423">
        <v>49</v>
      </c>
      <c r="F423" t="s">
        <v>12</v>
      </c>
      <c r="G423" t="s">
        <v>10</v>
      </c>
      <c r="H423">
        <v>50</v>
      </c>
      <c r="I423" t="str">
        <f>IFERROR(VLOOKUP(C423, merchants!$A$2:$D$41, 2, FALSE), "Merchant not found")</f>
        <v>Merchant_035</v>
      </c>
      <c r="J423" t="str">
        <f>IFERROR(VLOOKUP(C423, merchants!$A$2:$D$41, 3, FALSE), "Merchant not found")</f>
        <v>recharge</v>
      </c>
      <c r="K423" t="str">
        <f>IFERROR(VLOOKUP(C423, merchants!$A$2:$D$41, 4, FALSE), "Merchant not found")</f>
        <v>East</v>
      </c>
      <c r="L423" s="2">
        <f>HLOOKUP(F423, merchants!$F$1:$I$2, 2, FALSE)</f>
        <v>0</v>
      </c>
      <c r="M423" t="str">
        <f t="shared" si="12"/>
        <v>Regular</v>
      </c>
      <c r="N423" s="5">
        <f t="shared" si="13"/>
        <v>46050</v>
      </c>
    </row>
    <row r="424" spans="1:14" x14ac:dyDescent="0.3">
      <c r="A424" t="s">
        <v>437</v>
      </c>
      <c r="B424">
        <v>115</v>
      </c>
      <c r="C424">
        <v>1</v>
      </c>
      <c r="D424" s="1">
        <v>46039.198611111111</v>
      </c>
      <c r="E424">
        <v>149</v>
      </c>
      <c r="F424" t="s">
        <v>9</v>
      </c>
      <c r="G424" t="s">
        <v>10</v>
      </c>
      <c r="H424">
        <v>96</v>
      </c>
      <c r="I424" t="str">
        <f>IFERROR(VLOOKUP(C424, merchants!$A$2:$D$41, 2, FALSE), "Merchant not found")</f>
        <v>Merchant_001</v>
      </c>
      <c r="J424" t="str">
        <f>IFERROR(VLOOKUP(C424, merchants!$A$2:$D$41, 3, FALSE), "Merchant not found")</f>
        <v>ecommerce</v>
      </c>
      <c r="K424" t="str">
        <f>IFERROR(VLOOKUP(C424, merchants!$A$2:$D$41, 4, FALSE), "Merchant not found")</f>
        <v>South</v>
      </c>
      <c r="L424" s="2">
        <f>HLOOKUP(F424, merchants!$F$1:$I$2, 2, FALSE)</f>
        <v>1.4999999999999999E-2</v>
      </c>
      <c r="M424" t="str">
        <f t="shared" si="12"/>
        <v>Regular</v>
      </c>
      <c r="N424" s="5">
        <f t="shared" si="13"/>
        <v>46039</v>
      </c>
    </row>
    <row r="425" spans="1:14" x14ac:dyDescent="0.3">
      <c r="A425" t="s">
        <v>438</v>
      </c>
      <c r="B425">
        <v>345</v>
      </c>
      <c r="C425">
        <v>35</v>
      </c>
      <c r="D425" s="1">
        <v>46023.395138888889</v>
      </c>
      <c r="E425">
        <v>499</v>
      </c>
      <c r="F425" t="s">
        <v>24</v>
      </c>
      <c r="G425" t="s">
        <v>10</v>
      </c>
      <c r="H425">
        <v>54</v>
      </c>
      <c r="I425" t="str">
        <f>IFERROR(VLOOKUP(C425, merchants!$A$2:$D$41, 2, FALSE), "Merchant not found")</f>
        <v>Merchant_035</v>
      </c>
      <c r="J425" t="str">
        <f>IFERROR(VLOOKUP(C425, merchants!$A$2:$D$41, 3, FALSE), "Merchant not found")</f>
        <v>recharge</v>
      </c>
      <c r="K425" t="str">
        <f>IFERROR(VLOOKUP(C425, merchants!$A$2:$D$41, 4, FALSE), "Merchant not found")</f>
        <v>East</v>
      </c>
      <c r="L425" s="2">
        <f>HLOOKUP(F425, merchants!$F$1:$I$2, 2, FALSE)</f>
        <v>0.02</v>
      </c>
      <c r="M425" t="str">
        <f t="shared" si="12"/>
        <v>Regular</v>
      </c>
      <c r="N425" s="5">
        <f t="shared" si="13"/>
        <v>46023</v>
      </c>
    </row>
    <row r="426" spans="1:14" x14ac:dyDescent="0.3">
      <c r="A426" t="s">
        <v>439</v>
      </c>
      <c r="B426">
        <v>118</v>
      </c>
      <c r="C426">
        <v>16</v>
      </c>
      <c r="D426" s="1">
        <v>46040.536111111112</v>
      </c>
      <c r="E426">
        <v>49</v>
      </c>
      <c r="F426" t="s">
        <v>12</v>
      </c>
      <c r="G426" t="s">
        <v>10</v>
      </c>
      <c r="H426">
        <v>58</v>
      </c>
      <c r="I426" t="str">
        <f>IFERROR(VLOOKUP(C426, merchants!$A$2:$D$41, 2, FALSE), "Merchant not found")</f>
        <v>Merchant_016</v>
      </c>
      <c r="J426" t="str">
        <f>IFERROR(VLOOKUP(C426, merchants!$A$2:$D$41, 3, FALSE), "Merchant not found")</f>
        <v>bill_payment</v>
      </c>
      <c r="K426" t="str">
        <f>IFERROR(VLOOKUP(C426, merchants!$A$2:$D$41, 4, FALSE), "Merchant not found")</f>
        <v>West</v>
      </c>
      <c r="L426" s="2">
        <f>HLOOKUP(F426, merchants!$F$1:$I$2, 2, FALSE)</f>
        <v>0</v>
      </c>
      <c r="M426" t="str">
        <f t="shared" si="12"/>
        <v>Regular</v>
      </c>
      <c r="N426" s="5">
        <f t="shared" si="13"/>
        <v>46040</v>
      </c>
    </row>
    <row r="427" spans="1:14" x14ac:dyDescent="0.3">
      <c r="A427" t="s">
        <v>440</v>
      </c>
      <c r="B427">
        <v>97</v>
      </c>
      <c r="C427">
        <v>8</v>
      </c>
      <c r="D427" s="1">
        <v>46034.178472222222</v>
      </c>
      <c r="E427">
        <v>99</v>
      </c>
      <c r="F427" t="s">
        <v>15</v>
      </c>
      <c r="G427" t="s">
        <v>10</v>
      </c>
      <c r="H427">
        <v>4</v>
      </c>
      <c r="I427" t="str">
        <f>IFERROR(VLOOKUP(C427, merchants!$A$2:$D$41, 2, FALSE), "Merchant not found")</f>
        <v>Merchant_008</v>
      </c>
      <c r="J427" t="str">
        <f>IFERROR(VLOOKUP(C427, merchants!$A$2:$D$41, 3, FALSE), "Merchant not found")</f>
        <v>food_delivery</v>
      </c>
      <c r="K427" t="str">
        <f>IFERROR(VLOOKUP(C427, merchants!$A$2:$D$41, 4, FALSE), "Merchant not found")</f>
        <v>North</v>
      </c>
      <c r="L427" s="2">
        <f>HLOOKUP(F427, merchants!$F$1:$I$2, 2, FALSE)</f>
        <v>1.7999999999999999E-2</v>
      </c>
      <c r="M427" t="str">
        <f t="shared" si="12"/>
        <v>Regular</v>
      </c>
      <c r="N427" s="5">
        <f t="shared" si="13"/>
        <v>46034</v>
      </c>
    </row>
    <row r="428" spans="1:14" x14ac:dyDescent="0.3">
      <c r="A428" t="s">
        <v>441</v>
      </c>
      <c r="B428">
        <v>315</v>
      </c>
      <c r="C428">
        <v>2</v>
      </c>
      <c r="D428" s="1">
        <v>46048.893055555556</v>
      </c>
      <c r="E428">
        <v>299</v>
      </c>
      <c r="F428" t="s">
        <v>9</v>
      </c>
      <c r="G428" t="s">
        <v>10</v>
      </c>
      <c r="H428">
        <v>30</v>
      </c>
      <c r="I428" t="str">
        <f>IFERROR(VLOOKUP(C428, merchants!$A$2:$D$41, 2, FALSE), "Merchant not found")</f>
        <v>Merchant_002</v>
      </c>
      <c r="J428" t="str">
        <f>IFERROR(VLOOKUP(C428, merchants!$A$2:$D$41, 3, FALSE), "Merchant not found")</f>
        <v>grocery</v>
      </c>
      <c r="K428" t="str">
        <f>IFERROR(VLOOKUP(C428, merchants!$A$2:$D$41, 4, FALSE), "Merchant not found")</f>
        <v>West</v>
      </c>
      <c r="L428" s="2">
        <f>HLOOKUP(F428, merchants!$F$1:$I$2, 2, FALSE)</f>
        <v>1.4999999999999999E-2</v>
      </c>
      <c r="M428" t="str">
        <f t="shared" si="12"/>
        <v>Regular</v>
      </c>
      <c r="N428" s="5">
        <f t="shared" si="13"/>
        <v>46048</v>
      </c>
    </row>
    <row r="429" spans="1:14" x14ac:dyDescent="0.3">
      <c r="A429" t="s">
        <v>442</v>
      </c>
      <c r="B429">
        <v>305</v>
      </c>
      <c r="C429">
        <v>3</v>
      </c>
      <c r="D429" s="1">
        <v>46029.087500000001</v>
      </c>
      <c r="E429">
        <v>299</v>
      </c>
      <c r="F429" t="s">
        <v>12</v>
      </c>
      <c r="G429" t="s">
        <v>10</v>
      </c>
      <c r="H429">
        <v>57</v>
      </c>
      <c r="I429" t="str">
        <f>IFERROR(VLOOKUP(C429, merchants!$A$2:$D$41, 2, FALSE), "Merchant not found")</f>
        <v>Merchant_003</v>
      </c>
      <c r="J429" t="str">
        <f>IFERROR(VLOOKUP(C429, merchants!$A$2:$D$41, 3, FALSE), "Merchant not found")</f>
        <v>grocery</v>
      </c>
      <c r="K429" t="str">
        <f>IFERROR(VLOOKUP(C429, merchants!$A$2:$D$41, 4, FALSE), "Merchant not found")</f>
        <v>East</v>
      </c>
      <c r="L429" s="2">
        <f>HLOOKUP(F429, merchants!$F$1:$I$2, 2, FALSE)</f>
        <v>0</v>
      </c>
      <c r="M429" t="str">
        <f t="shared" si="12"/>
        <v>Regular</v>
      </c>
      <c r="N429" s="5">
        <f t="shared" si="13"/>
        <v>46029</v>
      </c>
    </row>
    <row r="430" spans="1:14" x14ac:dyDescent="0.3">
      <c r="A430" t="s">
        <v>443</v>
      </c>
      <c r="B430">
        <v>25</v>
      </c>
      <c r="C430">
        <v>16</v>
      </c>
      <c r="D430" s="1">
        <v>46042.90625</v>
      </c>
      <c r="E430">
        <v>299</v>
      </c>
      <c r="F430" t="s">
        <v>12</v>
      </c>
      <c r="G430" t="s">
        <v>10</v>
      </c>
      <c r="H430">
        <v>94</v>
      </c>
      <c r="I430" t="str">
        <f>IFERROR(VLOOKUP(C430, merchants!$A$2:$D$41, 2, FALSE), "Merchant not found")</f>
        <v>Merchant_016</v>
      </c>
      <c r="J430" t="str">
        <f>IFERROR(VLOOKUP(C430, merchants!$A$2:$D$41, 3, FALSE), "Merchant not found")</f>
        <v>bill_payment</v>
      </c>
      <c r="K430" t="str">
        <f>IFERROR(VLOOKUP(C430, merchants!$A$2:$D$41, 4, FALSE), "Merchant not found")</f>
        <v>West</v>
      </c>
      <c r="L430" s="2">
        <f>HLOOKUP(F430, merchants!$F$1:$I$2, 2, FALSE)</f>
        <v>0</v>
      </c>
      <c r="M430" t="str">
        <f t="shared" si="12"/>
        <v>Regular</v>
      </c>
      <c r="N430" s="5">
        <f t="shared" si="13"/>
        <v>46042</v>
      </c>
    </row>
    <row r="431" spans="1:14" x14ac:dyDescent="0.3">
      <c r="A431" t="s">
        <v>444</v>
      </c>
      <c r="B431">
        <v>120</v>
      </c>
      <c r="C431">
        <v>35</v>
      </c>
      <c r="D431" s="1">
        <v>46024.519444444442</v>
      </c>
      <c r="E431">
        <v>49</v>
      </c>
      <c r="F431" t="s">
        <v>12</v>
      </c>
      <c r="G431" t="s">
        <v>10</v>
      </c>
      <c r="H431">
        <v>27</v>
      </c>
      <c r="I431" t="str">
        <f>IFERROR(VLOOKUP(C431, merchants!$A$2:$D$41, 2, FALSE), "Merchant not found")</f>
        <v>Merchant_035</v>
      </c>
      <c r="J431" t="str">
        <f>IFERROR(VLOOKUP(C431, merchants!$A$2:$D$41, 3, FALSE), "Merchant not found")</f>
        <v>recharge</v>
      </c>
      <c r="K431" t="str">
        <f>IFERROR(VLOOKUP(C431, merchants!$A$2:$D$41, 4, FALSE), "Merchant not found")</f>
        <v>East</v>
      </c>
      <c r="L431" s="2">
        <f>HLOOKUP(F431, merchants!$F$1:$I$2, 2, FALSE)</f>
        <v>0</v>
      </c>
      <c r="M431" t="str">
        <f t="shared" si="12"/>
        <v>Regular</v>
      </c>
      <c r="N431" s="5">
        <f t="shared" si="13"/>
        <v>46024</v>
      </c>
    </row>
    <row r="432" spans="1:14" x14ac:dyDescent="0.3">
      <c r="A432" t="s">
        <v>445</v>
      </c>
      <c r="B432">
        <v>258</v>
      </c>
      <c r="C432">
        <v>19</v>
      </c>
      <c r="D432" s="1">
        <v>46047.047222222223</v>
      </c>
      <c r="E432">
        <v>49</v>
      </c>
      <c r="F432" t="s">
        <v>9</v>
      </c>
      <c r="G432" t="s">
        <v>10</v>
      </c>
      <c r="H432">
        <v>29</v>
      </c>
      <c r="I432" t="str">
        <f>IFERROR(VLOOKUP(C432, merchants!$A$2:$D$41, 2, FALSE), "Merchant not found")</f>
        <v>Merchant_019</v>
      </c>
      <c r="J432" t="str">
        <f>IFERROR(VLOOKUP(C432, merchants!$A$2:$D$41, 3, FALSE), "Merchant not found")</f>
        <v>grocery</v>
      </c>
      <c r="K432" t="str">
        <f>IFERROR(VLOOKUP(C432, merchants!$A$2:$D$41, 4, FALSE), "Merchant not found")</f>
        <v>North</v>
      </c>
      <c r="L432" s="2">
        <f>HLOOKUP(F432, merchants!$F$1:$I$2, 2, FALSE)</f>
        <v>1.4999999999999999E-2</v>
      </c>
      <c r="M432" t="str">
        <f t="shared" si="12"/>
        <v>Regular</v>
      </c>
      <c r="N432" s="5">
        <f t="shared" si="13"/>
        <v>46047</v>
      </c>
    </row>
    <row r="433" spans="1:14" x14ac:dyDescent="0.3">
      <c r="A433" t="s">
        <v>446</v>
      </c>
      <c r="B433">
        <v>164</v>
      </c>
      <c r="C433">
        <v>37</v>
      </c>
      <c r="D433" s="1">
        <v>46049.98333333333</v>
      </c>
      <c r="E433">
        <v>799</v>
      </c>
      <c r="F433" t="s">
        <v>12</v>
      </c>
      <c r="G433" t="s">
        <v>10</v>
      </c>
      <c r="H433">
        <v>76</v>
      </c>
      <c r="I433" t="str">
        <f>IFERROR(VLOOKUP(C433, merchants!$A$2:$D$41, 2, FALSE), "Merchant not found")</f>
        <v>Merchant_037</v>
      </c>
      <c r="J433" t="str">
        <f>IFERROR(VLOOKUP(C433, merchants!$A$2:$D$41, 3, FALSE), "Merchant not found")</f>
        <v>entertainment</v>
      </c>
      <c r="K433" t="str">
        <f>IFERROR(VLOOKUP(C433, merchants!$A$2:$D$41, 4, FALSE), "Merchant not found")</f>
        <v>South</v>
      </c>
      <c r="L433" s="2">
        <f>HLOOKUP(F433, merchants!$F$1:$I$2, 2, FALSE)</f>
        <v>0</v>
      </c>
      <c r="M433" t="str">
        <f t="shared" si="12"/>
        <v>Regular</v>
      </c>
      <c r="N433" s="5">
        <f t="shared" si="13"/>
        <v>46049</v>
      </c>
    </row>
    <row r="434" spans="1:14" x14ac:dyDescent="0.3">
      <c r="A434" t="s">
        <v>447</v>
      </c>
      <c r="B434">
        <v>165</v>
      </c>
      <c r="C434">
        <v>16</v>
      </c>
      <c r="D434" s="1">
        <v>46047.911111111112</v>
      </c>
      <c r="E434">
        <v>49</v>
      </c>
      <c r="F434" t="s">
        <v>9</v>
      </c>
      <c r="G434" t="s">
        <v>10</v>
      </c>
      <c r="H434">
        <v>38</v>
      </c>
      <c r="I434" t="str">
        <f>IFERROR(VLOOKUP(C434, merchants!$A$2:$D$41, 2, FALSE), "Merchant not found")</f>
        <v>Merchant_016</v>
      </c>
      <c r="J434" t="str">
        <f>IFERROR(VLOOKUP(C434, merchants!$A$2:$D$41, 3, FALSE), "Merchant not found")</f>
        <v>bill_payment</v>
      </c>
      <c r="K434" t="str">
        <f>IFERROR(VLOOKUP(C434, merchants!$A$2:$D$41, 4, FALSE), "Merchant not found")</f>
        <v>West</v>
      </c>
      <c r="L434" s="2">
        <f>HLOOKUP(F434, merchants!$F$1:$I$2, 2, FALSE)</f>
        <v>1.4999999999999999E-2</v>
      </c>
      <c r="M434" t="str">
        <f t="shared" si="12"/>
        <v>Regular</v>
      </c>
      <c r="N434" s="5">
        <f t="shared" si="13"/>
        <v>46047</v>
      </c>
    </row>
    <row r="435" spans="1:14" x14ac:dyDescent="0.3">
      <c r="A435" t="s">
        <v>448</v>
      </c>
      <c r="B435">
        <v>267</v>
      </c>
      <c r="C435">
        <v>15</v>
      </c>
      <c r="D435" s="1">
        <v>46051.195833333331</v>
      </c>
      <c r="E435">
        <v>49</v>
      </c>
      <c r="F435" t="s">
        <v>15</v>
      </c>
      <c r="G435" t="s">
        <v>10</v>
      </c>
      <c r="H435">
        <v>52</v>
      </c>
      <c r="I435" t="str">
        <f>IFERROR(VLOOKUP(C435, merchants!$A$2:$D$41, 2, FALSE), "Merchant not found")</f>
        <v>Merchant_015</v>
      </c>
      <c r="J435" t="str">
        <f>IFERROR(VLOOKUP(C435, merchants!$A$2:$D$41, 3, FALSE), "Merchant not found")</f>
        <v>travel</v>
      </c>
      <c r="K435" t="str">
        <f>IFERROR(VLOOKUP(C435, merchants!$A$2:$D$41, 4, FALSE), "Merchant not found")</f>
        <v>North</v>
      </c>
      <c r="L435" s="2">
        <f>HLOOKUP(F435, merchants!$F$1:$I$2, 2, FALSE)</f>
        <v>1.7999999999999999E-2</v>
      </c>
      <c r="M435" t="str">
        <f t="shared" si="12"/>
        <v>Regular</v>
      </c>
      <c r="N435" s="5">
        <f t="shared" si="13"/>
        <v>46051</v>
      </c>
    </row>
    <row r="436" spans="1:14" x14ac:dyDescent="0.3">
      <c r="A436" t="s">
        <v>449</v>
      </c>
      <c r="B436">
        <v>286</v>
      </c>
      <c r="C436">
        <v>38</v>
      </c>
      <c r="D436" s="1">
        <v>46032.335416666669</v>
      </c>
      <c r="E436">
        <v>299</v>
      </c>
      <c r="F436" t="s">
        <v>9</v>
      </c>
      <c r="G436" t="s">
        <v>10</v>
      </c>
      <c r="H436">
        <v>94</v>
      </c>
      <c r="I436" t="str">
        <f>IFERROR(VLOOKUP(C436, merchants!$A$2:$D$41, 2, FALSE), "Merchant not found")</f>
        <v>Merchant_038</v>
      </c>
      <c r="J436" t="str">
        <f>IFERROR(VLOOKUP(C436, merchants!$A$2:$D$41, 3, FALSE), "Merchant not found")</f>
        <v>grocery</v>
      </c>
      <c r="K436" t="str">
        <f>IFERROR(VLOOKUP(C436, merchants!$A$2:$D$41, 4, FALSE), "Merchant not found")</f>
        <v>East</v>
      </c>
      <c r="L436" s="2">
        <f>HLOOKUP(F436, merchants!$F$1:$I$2, 2, FALSE)</f>
        <v>1.4999999999999999E-2</v>
      </c>
      <c r="M436" t="str">
        <f t="shared" si="12"/>
        <v>Regular</v>
      </c>
      <c r="N436" s="5">
        <f t="shared" si="13"/>
        <v>46032</v>
      </c>
    </row>
    <row r="437" spans="1:14" x14ac:dyDescent="0.3">
      <c r="A437" t="s">
        <v>450</v>
      </c>
      <c r="B437">
        <v>348</v>
      </c>
      <c r="C437">
        <v>28</v>
      </c>
      <c r="D437" s="1">
        <v>46052.236111111109</v>
      </c>
      <c r="E437">
        <v>499</v>
      </c>
      <c r="F437" t="s">
        <v>24</v>
      </c>
      <c r="G437" t="s">
        <v>10</v>
      </c>
      <c r="H437">
        <v>71</v>
      </c>
      <c r="I437" t="str">
        <f>IFERROR(VLOOKUP(C437, merchants!$A$2:$D$41, 2, FALSE), "Merchant not found")</f>
        <v>Merchant_028</v>
      </c>
      <c r="J437" t="str">
        <f>IFERROR(VLOOKUP(C437, merchants!$A$2:$D$41, 3, FALSE), "Merchant not found")</f>
        <v>ecommerce</v>
      </c>
      <c r="K437" t="str">
        <f>IFERROR(VLOOKUP(C437, merchants!$A$2:$D$41, 4, FALSE), "Merchant not found")</f>
        <v>South</v>
      </c>
      <c r="L437" s="2">
        <f>HLOOKUP(F437, merchants!$F$1:$I$2, 2, FALSE)</f>
        <v>0.02</v>
      </c>
      <c r="M437" t="str">
        <f t="shared" si="12"/>
        <v>Regular</v>
      </c>
      <c r="N437" s="5">
        <f t="shared" si="13"/>
        <v>46052</v>
      </c>
    </row>
    <row r="438" spans="1:14" x14ac:dyDescent="0.3">
      <c r="A438" t="s">
        <v>451</v>
      </c>
      <c r="B438">
        <v>330</v>
      </c>
      <c r="C438">
        <v>25</v>
      </c>
      <c r="D438" s="1">
        <v>46038.056944444441</v>
      </c>
      <c r="E438">
        <v>799</v>
      </c>
      <c r="F438" t="s">
        <v>12</v>
      </c>
      <c r="G438" t="s">
        <v>10</v>
      </c>
      <c r="H438">
        <v>100</v>
      </c>
      <c r="I438" t="str">
        <f>IFERROR(VLOOKUP(C438, merchants!$A$2:$D$41, 2, FALSE), "Merchant not found")</f>
        <v>Merchant_025</v>
      </c>
      <c r="J438" t="str">
        <f>IFERROR(VLOOKUP(C438, merchants!$A$2:$D$41, 3, FALSE), "Merchant not found")</f>
        <v>travel</v>
      </c>
      <c r="K438" t="str">
        <f>IFERROR(VLOOKUP(C438, merchants!$A$2:$D$41, 4, FALSE), "Merchant not found")</f>
        <v>South</v>
      </c>
      <c r="L438" s="2">
        <f>HLOOKUP(F438, merchants!$F$1:$I$2, 2, FALSE)</f>
        <v>0</v>
      </c>
      <c r="M438" t="str">
        <f t="shared" si="12"/>
        <v>Regular</v>
      </c>
      <c r="N438" s="5">
        <f t="shared" si="13"/>
        <v>46038</v>
      </c>
    </row>
    <row r="439" spans="1:14" x14ac:dyDescent="0.3">
      <c r="A439" t="s">
        <v>452</v>
      </c>
      <c r="B439">
        <v>214</v>
      </c>
      <c r="C439">
        <v>27</v>
      </c>
      <c r="D439" s="1">
        <v>46039.447222222225</v>
      </c>
      <c r="E439">
        <v>299</v>
      </c>
      <c r="F439" t="s">
        <v>24</v>
      </c>
      <c r="G439" t="s">
        <v>10</v>
      </c>
      <c r="H439">
        <v>19</v>
      </c>
      <c r="I439" t="str">
        <f>IFERROR(VLOOKUP(C439, merchants!$A$2:$D$41, 2, FALSE), "Merchant not found")</f>
        <v>Merchant_027</v>
      </c>
      <c r="J439" t="str">
        <f>IFERROR(VLOOKUP(C439, merchants!$A$2:$D$41, 3, FALSE), "Merchant not found")</f>
        <v>ecommerce</v>
      </c>
      <c r="K439" t="str">
        <f>IFERROR(VLOOKUP(C439, merchants!$A$2:$D$41, 4, FALSE), "Merchant not found")</f>
        <v>North</v>
      </c>
      <c r="L439" s="2">
        <f>HLOOKUP(F439, merchants!$F$1:$I$2, 2, FALSE)</f>
        <v>0.02</v>
      </c>
      <c r="M439" t="str">
        <f t="shared" si="12"/>
        <v>Regular</v>
      </c>
      <c r="N439" s="5">
        <f t="shared" si="13"/>
        <v>46039</v>
      </c>
    </row>
    <row r="440" spans="1:14" x14ac:dyDescent="0.3">
      <c r="A440" t="s">
        <v>453</v>
      </c>
      <c r="B440">
        <v>276</v>
      </c>
      <c r="C440">
        <v>31</v>
      </c>
      <c r="D440" s="1">
        <v>46032.507638888892</v>
      </c>
      <c r="E440">
        <v>499</v>
      </c>
      <c r="F440" t="s">
        <v>12</v>
      </c>
      <c r="G440" t="s">
        <v>10</v>
      </c>
      <c r="H440">
        <v>30</v>
      </c>
      <c r="I440" t="str">
        <f>IFERROR(VLOOKUP(C440, merchants!$A$2:$D$41, 2, FALSE), "Merchant not found")</f>
        <v>Merchant_031</v>
      </c>
      <c r="J440" t="str">
        <f>IFERROR(VLOOKUP(C440, merchants!$A$2:$D$41, 3, FALSE), "Merchant not found")</f>
        <v>bill_payment</v>
      </c>
      <c r="K440" t="str">
        <f>IFERROR(VLOOKUP(C440, merchants!$A$2:$D$41, 4, FALSE), "Merchant not found")</f>
        <v>East</v>
      </c>
      <c r="L440" s="2">
        <f>HLOOKUP(F440, merchants!$F$1:$I$2, 2, FALSE)</f>
        <v>0</v>
      </c>
      <c r="M440" t="str">
        <f t="shared" si="12"/>
        <v>Regular</v>
      </c>
      <c r="N440" s="5">
        <f t="shared" si="13"/>
        <v>46032</v>
      </c>
    </row>
    <row r="441" spans="1:14" x14ac:dyDescent="0.3">
      <c r="A441" t="s">
        <v>454</v>
      </c>
      <c r="B441">
        <v>74</v>
      </c>
      <c r="C441">
        <v>30</v>
      </c>
      <c r="D441" s="1">
        <v>46050.304861111108</v>
      </c>
      <c r="E441">
        <v>49</v>
      </c>
      <c r="F441" t="s">
        <v>12</v>
      </c>
      <c r="G441" t="s">
        <v>10</v>
      </c>
      <c r="H441">
        <v>7</v>
      </c>
      <c r="I441" t="str">
        <f>IFERROR(VLOOKUP(C441, merchants!$A$2:$D$41, 2, FALSE), "Merchant not found")</f>
        <v>Merchant_030</v>
      </c>
      <c r="J441" t="str">
        <f>IFERROR(VLOOKUP(C441, merchants!$A$2:$D$41, 3, FALSE), "Merchant not found")</f>
        <v>travel</v>
      </c>
      <c r="K441" t="str">
        <f>IFERROR(VLOOKUP(C441, merchants!$A$2:$D$41, 4, FALSE), "Merchant not found")</f>
        <v>West</v>
      </c>
      <c r="L441" s="2">
        <f>HLOOKUP(F441, merchants!$F$1:$I$2, 2, FALSE)</f>
        <v>0</v>
      </c>
      <c r="M441" t="str">
        <f t="shared" si="12"/>
        <v>Regular</v>
      </c>
      <c r="N441" s="5">
        <f t="shared" si="13"/>
        <v>46050</v>
      </c>
    </row>
    <row r="442" spans="1:14" x14ac:dyDescent="0.3">
      <c r="A442" t="s">
        <v>455</v>
      </c>
      <c r="B442">
        <v>286</v>
      </c>
      <c r="C442">
        <v>34</v>
      </c>
      <c r="D442" s="1">
        <v>46040.55972222222</v>
      </c>
      <c r="E442">
        <v>49</v>
      </c>
      <c r="F442" t="s">
        <v>24</v>
      </c>
      <c r="G442" t="s">
        <v>10</v>
      </c>
      <c r="H442">
        <v>17</v>
      </c>
      <c r="I442" t="str">
        <f>IFERROR(VLOOKUP(C442, merchants!$A$2:$D$41, 2, FALSE), "Merchant not found")</f>
        <v>Merchant_034</v>
      </c>
      <c r="J442" t="str">
        <f>IFERROR(VLOOKUP(C442, merchants!$A$2:$D$41, 3, FALSE), "Merchant not found")</f>
        <v>travel</v>
      </c>
      <c r="K442" t="str">
        <f>IFERROR(VLOOKUP(C442, merchants!$A$2:$D$41, 4, FALSE), "Merchant not found")</f>
        <v>South</v>
      </c>
      <c r="L442" s="2">
        <f>HLOOKUP(F442, merchants!$F$1:$I$2, 2, FALSE)</f>
        <v>0.02</v>
      </c>
      <c r="M442" t="str">
        <f t="shared" si="12"/>
        <v>Regular</v>
      </c>
      <c r="N442" s="5">
        <f t="shared" si="13"/>
        <v>46040</v>
      </c>
    </row>
    <row r="443" spans="1:14" x14ac:dyDescent="0.3">
      <c r="A443" t="s">
        <v>456</v>
      </c>
      <c r="B443">
        <v>105</v>
      </c>
      <c r="C443">
        <v>22</v>
      </c>
      <c r="D443" s="1">
        <v>46035.302777777775</v>
      </c>
      <c r="E443">
        <v>4999</v>
      </c>
      <c r="F443" t="s">
        <v>12</v>
      </c>
      <c r="G443" t="s">
        <v>10</v>
      </c>
      <c r="H443">
        <v>82</v>
      </c>
      <c r="I443" t="str">
        <f>IFERROR(VLOOKUP(C443, merchants!$A$2:$D$41, 2, FALSE), "Merchant not found")</f>
        <v>Merchant_022</v>
      </c>
      <c r="J443" t="str">
        <f>IFERROR(VLOOKUP(C443, merchants!$A$2:$D$41, 3, FALSE), "Merchant not found")</f>
        <v>travel</v>
      </c>
      <c r="K443" t="str">
        <f>IFERROR(VLOOKUP(C443, merchants!$A$2:$D$41, 4, FALSE), "Merchant not found")</f>
        <v>South</v>
      </c>
      <c r="L443" s="2">
        <f>HLOOKUP(F443, merchants!$F$1:$I$2, 2, FALSE)</f>
        <v>0</v>
      </c>
      <c r="M443" t="str">
        <f t="shared" si="12"/>
        <v>High-Value Day</v>
      </c>
      <c r="N443" s="5">
        <f t="shared" si="13"/>
        <v>46035</v>
      </c>
    </row>
    <row r="444" spans="1:14" x14ac:dyDescent="0.3">
      <c r="A444" t="s">
        <v>457</v>
      </c>
      <c r="B444">
        <v>190</v>
      </c>
      <c r="C444">
        <v>6</v>
      </c>
      <c r="D444" s="1">
        <v>46025.620833333334</v>
      </c>
      <c r="E444">
        <v>799</v>
      </c>
      <c r="F444" t="s">
        <v>9</v>
      </c>
      <c r="G444" t="s">
        <v>10</v>
      </c>
      <c r="H444">
        <v>68</v>
      </c>
      <c r="I444" t="str">
        <f>IFERROR(VLOOKUP(C444, merchants!$A$2:$D$41, 2, FALSE), "Merchant not found")</f>
        <v>Merchant_006</v>
      </c>
      <c r="J444" t="str">
        <f>IFERROR(VLOOKUP(C444, merchants!$A$2:$D$41, 3, FALSE), "Merchant not found")</f>
        <v>food_delivery</v>
      </c>
      <c r="K444" t="str">
        <f>IFERROR(VLOOKUP(C444, merchants!$A$2:$D$41, 4, FALSE), "Merchant not found")</f>
        <v>South</v>
      </c>
      <c r="L444" s="2">
        <f>HLOOKUP(F444, merchants!$F$1:$I$2, 2, FALSE)</f>
        <v>1.4999999999999999E-2</v>
      </c>
      <c r="M444" t="str">
        <f t="shared" si="12"/>
        <v>Regular</v>
      </c>
      <c r="N444" s="5">
        <f t="shared" si="13"/>
        <v>46025</v>
      </c>
    </row>
    <row r="445" spans="1:14" x14ac:dyDescent="0.3">
      <c r="A445" t="s">
        <v>458</v>
      </c>
      <c r="B445">
        <v>138</v>
      </c>
      <c r="C445">
        <v>25</v>
      </c>
      <c r="D445" s="1">
        <v>46046.252083333333</v>
      </c>
      <c r="E445">
        <v>299</v>
      </c>
      <c r="F445" t="s">
        <v>9</v>
      </c>
      <c r="G445" t="s">
        <v>10</v>
      </c>
      <c r="H445">
        <v>86</v>
      </c>
      <c r="I445" t="str">
        <f>IFERROR(VLOOKUP(C445, merchants!$A$2:$D$41, 2, FALSE), "Merchant not found")</f>
        <v>Merchant_025</v>
      </c>
      <c r="J445" t="str">
        <f>IFERROR(VLOOKUP(C445, merchants!$A$2:$D$41, 3, FALSE), "Merchant not found")</f>
        <v>travel</v>
      </c>
      <c r="K445" t="str">
        <f>IFERROR(VLOOKUP(C445, merchants!$A$2:$D$41, 4, FALSE), "Merchant not found")</f>
        <v>South</v>
      </c>
      <c r="L445" s="2">
        <f>HLOOKUP(F445, merchants!$F$1:$I$2, 2, FALSE)</f>
        <v>1.4999999999999999E-2</v>
      </c>
      <c r="M445" t="str">
        <f t="shared" si="12"/>
        <v>Regular</v>
      </c>
      <c r="N445" s="5">
        <f t="shared" si="13"/>
        <v>46046</v>
      </c>
    </row>
    <row r="446" spans="1:14" x14ac:dyDescent="0.3">
      <c r="A446" t="s">
        <v>459</v>
      </c>
      <c r="B446">
        <v>38</v>
      </c>
      <c r="C446">
        <v>13</v>
      </c>
      <c r="D446" s="1">
        <v>46042.793055555558</v>
      </c>
      <c r="E446">
        <v>4999</v>
      </c>
      <c r="F446" t="s">
        <v>15</v>
      </c>
      <c r="G446" t="s">
        <v>10</v>
      </c>
      <c r="H446">
        <v>97</v>
      </c>
      <c r="I446" t="str">
        <f>IFERROR(VLOOKUP(C446, merchants!$A$2:$D$41, 2, FALSE), "Merchant not found")</f>
        <v>Merchant_013</v>
      </c>
      <c r="J446" t="str">
        <f>IFERROR(VLOOKUP(C446, merchants!$A$2:$D$41, 3, FALSE), "Merchant not found")</f>
        <v>travel</v>
      </c>
      <c r="K446" t="str">
        <f>IFERROR(VLOOKUP(C446, merchants!$A$2:$D$41, 4, FALSE), "Merchant not found")</f>
        <v>East</v>
      </c>
      <c r="L446" s="2">
        <f>HLOOKUP(F446, merchants!$F$1:$I$2, 2, FALSE)</f>
        <v>1.7999999999999999E-2</v>
      </c>
      <c r="M446" t="str">
        <f t="shared" si="12"/>
        <v>Regular</v>
      </c>
      <c r="N446" s="5">
        <f t="shared" si="13"/>
        <v>46042</v>
      </c>
    </row>
    <row r="447" spans="1:14" x14ac:dyDescent="0.3">
      <c r="A447" t="s">
        <v>460</v>
      </c>
      <c r="B447">
        <v>287</v>
      </c>
      <c r="C447">
        <v>14</v>
      </c>
      <c r="D447" s="1">
        <v>46041.987500000003</v>
      </c>
      <c r="E447">
        <v>99</v>
      </c>
      <c r="F447" t="s">
        <v>9</v>
      </c>
      <c r="G447" t="s">
        <v>10</v>
      </c>
      <c r="H447">
        <v>61</v>
      </c>
      <c r="I447" t="str">
        <f>IFERROR(VLOOKUP(C447, merchants!$A$2:$D$41, 2, FALSE), "Merchant not found")</f>
        <v>Merchant_014</v>
      </c>
      <c r="J447" t="str">
        <f>IFERROR(VLOOKUP(C447, merchants!$A$2:$D$41, 3, FALSE), "Merchant not found")</f>
        <v>grocery</v>
      </c>
      <c r="K447" t="str">
        <f>IFERROR(VLOOKUP(C447, merchants!$A$2:$D$41, 4, FALSE), "Merchant not found")</f>
        <v>East</v>
      </c>
      <c r="L447" s="2">
        <f>HLOOKUP(F447, merchants!$F$1:$I$2, 2, FALSE)</f>
        <v>1.4999999999999999E-2</v>
      </c>
      <c r="M447" t="str">
        <f t="shared" si="12"/>
        <v>Regular</v>
      </c>
      <c r="N447" s="5">
        <f t="shared" si="13"/>
        <v>46041</v>
      </c>
    </row>
    <row r="448" spans="1:14" x14ac:dyDescent="0.3">
      <c r="A448" t="s">
        <v>461</v>
      </c>
      <c r="B448">
        <v>8</v>
      </c>
      <c r="C448">
        <v>14</v>
      </c>
      <c r="D448" s="1">
        <v>46029.429861111108</v>
      </c>
      <c r="E448">
        <v>49</v>
      </c>
      <c r="F448" t="s">
        <v>12</v>
      </c>
      <c r="G448" t="s">
        <v>10</v>
      </c>
      <c r="H448">
        <v>24</v>
      </c>
      <c r="I448" t="str">
        <f>IFERROR(VLOOKUP(C448, merchants!$A$2:$D$41, 2, FALSE), "Merchant not found")</f>
        <v>Merchant_014</v>
      </c>
      <c r="J448" t="str">
        <f>IFERROR(VLOOKUP(C448, merchants!$A$2:$D$41, 3, FALSE), "Merchant not found")</f>
        <v>grocery</v>
      </c>
      <c r="K448" t="str">
        <f>IFERROR(VLOOKUP(C448, merchants!$A$2:$D$41, 4, FALSE), "Merchant not found")</f>
        <v>East</v>
      </c>
      <c r="L448" s="2">
        <f>HLOOKUP(F448, merchants!$F$1:$I$2, 2, FALSE)</f>
        <v>0</v>
      </c>
      <c r="M448" t="str">
        <f t="shared" si="12"/>
        <v>Regular</v>
      </c>
      <c r="N448" s="5">
        <f t="shared" si="13"/>
        <v>46029</v>
      </c>
    </row>
    <row r="449" spans="1:14" x14ac:dyDescent="0.3">
      <c r="A449" t="s">
        <v>462</v>
      </c>
      <c r="B449">
        <v>246</v>
      </c>
      <c r="C449">
        <v>16</v>
      </c>
      <c r="D449" s="1">
        <v>46046.157638888886</v>
      </c>
      <c r="E449">
        <v>1499</v>
      </c>
      <c r="F449" t="s">
        <v>9</v>
      </c>
      <c r="G449" t="s">
        <v>10</v>
      </c>
      <c r="H449">
        <v>89</v>
      </c>
      <c r="I449" t="str">
        <f>IFERROR(VLOOKUP(C449, merchants!$A$2:$D$41, 2, FALSE), "Merchant not found")</f>
        <v>Merchant_016</v>
      </c>
      <c r="J449" t="str">
        <f>IFERROR(VLOOKUP(C449, merchants!$A$2:$D$41, 3, FALSE), "Merchant not found")</f>
        <v>bill_payment</v>
      </c>
      <c r="K449" t="str">
        <f>IFERROR(VLOOKUP(C449, merchants!$A$2:$D$41, 4, FALSE), "Merchant not found")</f>
        <v>West</v>
      </c>
      <c r="L449" s="2">
        <f>HLOOKUP(F449, merchants!$F$1:$I$2, 2, FALSE)</f>
        <v>1.4999999999999999E-2</v>
      </c>
      <c r="M449" t="str">
        <f t="shared" si="12"/>
        <v>Regular</v>
      </c>
      <c r="N449" s="5">
        <f t="shared" si="13"/>
        <v>46046</v>
      </c>
    </row>
    <row r="450" spans="1:14" x14ac:dyDescent="0.3">
      <c r="A450" t="s">
        <v>463</v>
      </c>
      <c r="B450">
        <v>204</v>
      </c>
      <c r="C450">
        <v>16</v>
      </c>
      <c r="D450" s="1">
        <v>46042.925694444442</v>
      </c>
      <c r="E450">
        <v>149</v>
      </c>
      <c r="F450" t="s">
        <v>12</v>
      </c>
      <c r="G450" t="s">
        <v>10</v>
      </c>
      <c r="H450">
        <v>70</v>
      </c>
      <c r="I450" t="str">
        <f>IFERROR(VLOOKUP(C450, merchants!$A$2:$D$41, 2, FALSE), "Merchant not found")</f>
        <v>Merchant_016</v>
      </c>
      <c r="J450" t="str">
        <f>IFERROR(VLOOKUP(C450, merchants!$A$2:$D$41, 3, FALSE), "Merchant not found")</f>
        <v>bill_payment</v>
      </c>
      <c r="K450" t="str">
        <f>IFERROR(VLOOKUP(C450, merchants!$A$2:$D$41, 4, FALSE), "Merchant not found")</f>
        <v>West</v>
      </c>
      <c r="L450" s="2">
        <f>HLOOKUP(F450, merchants!$F$1:$I$2, 2, FALSE)</f>
        <v>0</v>
      </c>
      <c r="M450" t="str">
        <f t="shared" si="12"/>
        <v>Regular</v>
      </c>
      <c r="N450" s="5">
        <f t="shared" si="13"/>
        <v>46042</v>
      </c>
    </row>
    <row r="451" spans="1:14" x14ac:dyDescent="0.3">
      <c r="A451" t="s">
        <v>464</v>
      </c>
      <c r="B451">
        <v>239</v>
      </c>
      <c r="C451">
        <v>35</v>
      </c>
      <c r="D451" s="1">
        <v>46033.39166666667</v>
      </c>
      <c r="E451">
        <v>4999</v>
      </c>
      <c r="F451" t="s">
        <v>12</v>
      </c>
      <c r="G451" t="s">
        <v>10</v>
      </c>
      <c r="H451">
        <v>83</v>
      </c>
      <c r="I451" t="str">
        <f>IFERROR(VLOOKUP(C451, merchants!$A$2:$D$41, 2, FALSE), "Merchant not found")</f>
        <v>Merchant_035</v>
      </c>
      <c r="J451" t="str">
        <f>IFERROR(VLOOKUP(C451, merchants!$A$2:$D$41, 3, FALSE), "Merchant not found")</f>
        <v>recharge</v>
      </c>
      <c r="K451" t="str">
        <f>IFERROR(VLOOKUP(C451, merchants!$A$2:$D$41, 4, FALSE), "Merchant not found")</f>
        <v>East</v>
      </c>
      <c r="L451" s="2">
        <f>HLOOKUP(F451, merchants!$F$1:$I$2, 2, FALSE)</f>
        <v>0</v>
      </c>
      <c r="M451" t="str">
        <f t="shared" ref="M451:M514" si="14">IF(AND(SUMIFS($E:$E, $C:$C, C451, $D:$D, "&gt;="&amp;INT(D451), $D:$D, "&lt;"&amp;INT(D451)+1) &gt; 5000, K451 &lt;&gt; "East"), "High-Value Day", "Regular")</f>
        <v>Regular</v>
      </c>
      <c r="N451" s="5">
        <f t="shared" ref="N451:N514" si="15">INT(D451)</f>
        <v>46033</v>
      </c>
    </row>
    <row r="452" spans="1:14" x14ac:dyDescent="0.3">
      <c r="A452" t="s">
        <v>465</v>
      </c>
      <c r="B452">
        <v>185</v>
      </c>
      <c r="C452">
        <v>33</v>
      </c>
      <c r="D452" s="1">
        <v>46034.386111111111</v>
      </c>
      <c r="E452">
        <v>299</v>
      </c>
      <c r="F452" t="s">
        <v>12</v>
      </c>
      <c r="G452" t="s">
        <v>10</v>
      </c>
      <c r="H452">
        <v>63</v>
      </c>
      <c r="I452" t="str">
        <f>IFERROR(VLOOKUP(C452, merchants!$A$2:$D$41, 2, FALSE), "Merchant not found")</f>
        <v>Merchant_033</v>
      </c>
      <c r="J452" t="str">
        <f>IFERROR(VLOOKUP(C452, merchants!$A$2:$D$41, 3, FALSE), "Merchant not found")</f>
        <v>bill_payment</v>
      </c>
      <c r="K452" t="str">
        <f>IFERROR(VLOOKUP(C452, merchants!$A$2:$D$41, 4, FALSE), "Merchant not found")</f>
        <v>East</v>
      </c>
      <c r="L452" s="2">
        <f>HLOOKUP(F452, merchants!$F$1:$I$2, 2, FALSE)</f>
        <v>0</v>
      </c>
      <c r="M452" t="str">
        <f t="shared" si="14"/>
        <v>Regular</v>
      </c>
      <c r="N452" s="5">
        <f t="shared" si="15"/>
        <v>46034</v>
      </c>
    </row>
    <row r="453" spans="1:14" x14ac:dyDescent="0.3">
      <c r="A453" t="s">
        <v>466</v>
      </c>
      <c r="B453">
        <v>241</v>
      </c>
      <c r="C453">
        <v>21</v>
      </c>
      <c r="D453" s="1">
        <v>46037.160416666666</v>
      </c>
      <c r="E453">
        <v>299</v>
      </c>
      <c r="F453" t="s">
        <v>24</v>
      </c>
      <c r="G453" t="s">
        <v>10</v>
      </c>
      <c r="H453">
        <v>26</v>
      </c>
      <c r="I453" t="str">
        <f>IFERROR(VLOOKUP(C453, merchants!$A$2:$D$41, 2, FALSE), "Merchant not found")</f>
        <v>Merchant_021</v>
      </c>
      <c r="J453" t="str">
        <f>IFERROR(VLOOKUP(C453, merchants!$A$2:$D$41, 3, FALSE), "Merchant not found")</f>
        <v>food_delivery</v>
      </c>
      <c r="K453" t="str">
        <f>IFERROR(VLOOKUP(C453, merchants!$A$2:$D$41, 4, FALSE), "Merchant not found")</f>
        <v>East</v>
      </c>
      <c r="L453" s="2">
        <f>HLOOKUP(F453, merchants!$F$1:$I$2, 2, FALSE)</f>
        <v>0.02</v>
      </c>
      <c r="M453" t="str">
        <f t="shared" si="14"/>
        <v>Regular</v>
      </c>
      <c r="N453" s="5">
        <f t="shared" si="15"/>
        <v>46037</v>
      </c>
    </row>
    <row r="454" spans="1:14" x14ac:dyDescent="0.3">
      <c r="A454" t="s">
        <v>467</v>
      </c>
      <c r="B454">
        <v>24</v>
      </c>
      <c r="C454">
        <v>37</v>
      </c>
      <c r="D454" s="1">
        <v>46034.43472222222</v>
      </c>
      <c r="E454">
        <v>149</v>
      </c>
      <c r="F454" t="s">
        <v>12</v>
      </c>
      <c r="G454" t="s">
        <v>10</v>
      </c>
      <c r="H454">
        <v>28</v>
      </c>
      <c r="I454" t="str">
        <f>IFERROR(VLOOKUP(C454, merchants!$A$2:$D$41, 2, FALSE), "Merchant not found")</f>
        <v>Merchant_037</v>
      </c>
      <c r="J454" t="str">
        <f>IFERROR(VLOOKUP(C454, merchants!$A$2:$D$41, 3, FALSE), "Merchant not found")</f>
        <v>entertainment</v>
      </c>
      <c r="K454" t="str">
        <f>IFERROR(VLOOKUP(C454, merchants!$A$2:$D$41, 4, FALSE), "Merchant not found")</f>
        <v>South</v>
      </c>
      <c r="L454" s="2">
        <f>HLOOKUP(F454, merchants!$F$1:$I$2, 2, FALSE)</f>
        <v>0</v>
      </c>
      <c r="M454" t="str">
        <f t="shared" si="14"/>
        <v>Regular</v>
      </c>
      <c r="N454" s="5">
        <f t="shared" si="15"/>
        <v>46034</v>
      </c>
    </row>
    <row r="455" spans="1:14" x14ac:dyDescent="0.3">
      <c r="A455" t="s">
        <v>468</v>
      </c>
      <c r="B455">
        <v>134</v>
      </c>
      <c r="C455">
        <v>36</v>
      </c>
      <c r="D455" s="1">
        <v>46046.167361111111</v>
      </c>
      <c r="E455">
        <v>1499</v>
      </c>
      <c r="F455" t="s">
        <v>12</v>
      </c>
      <c r="G455" t="s">
        <v>10</v>
      </c>
      <c r="H455">
        <v>74</v>
      </c>
      <c r="I455" t="str">
        <f>IFERROR(VLOOKUP(C455, merchants!$A$2:$D$41, 2, FALSE), "Merchant not found")</f>
        <v>Merchant_036</v>
      </c>
      <c r="J455" t="str">
        <f>IFERROR(VLOOKUP(C455, merchants!$A$2:$D$41, 3, FALSE), "Merchant not found")</f>
        <v>entertainment</v>
      </c>
      <c r="K455" t="str">
        <f>IFERROR(VLOOKUP(C455, merchants!$A$2:$D$41, 4, FALSE), "Merchant not found")</f>
        <v>East</v>
      </c>
      <c r="L455" s="2">
        <f>HLOOKUP(F455, merchants!$F$1:$I$2, 2, FALSE)</f>
        <v>0</v>
      </c>
      <c r="M455" t="str">
        <f t="shared" si="14"/>
        <v>Regular</v>
      </c>
      <c r="N455" s="5">
        <f t="shared" si="15"/>
        <v>46046</v>
      </c>
    </row>
    <row r="456" spans="1:14" x14ac:dyDescent="0.3">
      <c r="A456" t="s">
        <v>469</v>
      </c>
      <c r="B456">
        <v>152</v>
      </c>
      <c r="C456">
        <v>10</v>
      </c>
      <c r="D456" s="1">
        <v>46041.976388888892</v>
      </c>
      <c r="E456">
        <v>499</v>
      </c>
      <c r="F456" t="s">
        <v>9</v>
      </c>
      <c r="G456" t="s">
        <v>10</v>
      </c>
      <c r="H456">
        <v>25</v>
      </c>
      <c r="I456" t="str">
        <f>IFERROR(VLOOKUP(C456, merchants!$A$2:$D$41, 2, FALSE), "Merchant not found")</f>
        <v>Merchant_010</v>
      </c>
      <c r="J456" t="str">
        <f>IFERROR(VLOOKUP(C456, merchants!$A$2:$D$41, 3, FALSE), "Merchant not found")</f>
        <v>grocery</v>
      </c>
      <c r="K456" t="str">
        <f>IFERROR(VLOOKUP(C456, merchants!$A$2:$D$41, 4, FALSE), "Merchant not found")</f>
        <v>West</v>
      </c>
      <c r="L456" s="2">
        <f>HLOOKUP(F456, merchants!$F$1:$I$2, 2, FALSE)</f>
        <v>1.4999999999999999E-2</v>
      </c>
      <c r="M456" t="str">
        <f t="shared" si="14"/>
        <v>Regular</v>
      </c>
      <c r="N456" s="5">
        <f t="shared" si="15"/>
        <v>46041</v>
      </c>
    </row>
    <row r="457" spans="1:14" x14ac:dyDescent="0.3">
      <c r="A457" t="s">
        <v>470</v>
      </c>
      <c r="B457">
        <v>292</v>
      </c>
      <c r="C457">
        <v>16</v>
      </c>
      <c r="D457" s="1">
        <v>46033.308333333334</v>
      </c>
      <c r="E457">
        <v>499</v>
      </c>
      <c r="F457" t="s">
        <v>15</v>
      </c>
      <c r="G457" t="s">
        <v>10</v>
      </c>
      <c r="H457">
        <v>63</v>
      </c>
      <c r="I457" t="str">
        <f>IFERROR(VLOOKUP(C457, merchants!$A$2:$D$41, 2, FALSE), "Merchant not found")</f>
        <v>Merchant_016</v>
      </c>
      <c r="J457" t="str">
        <f>IFERROR(VLOOKUP(C457, merchants!$A$2:$D$41, 3, FALSE), "Merchant not found")</f>
        <v>bill_payment</v>
      </c>
      <c r="K457" t="str">
        <f>IFERROR(VLOOKUP(C457, merchants!$A$2:$D$41, 4, FALSE), "Merchant not found")</f>
        <v>West</v>
      </c>
      <c r="L457" s="2">
        <f>HLOOKUP(F457, merchants!$F$1:$I$2, 2, FALSE)</f>
        <v>1.7999999999999999E-2</v>
      </c>
      <c r="M457" t="str">
        <f t="shared" si="14"/>
        <v>Regular</v>
      </c>
      <c r="N457" s="5">
        <f t="shared" si="15"/>
        <v>46033</v>
      </c>
    </row>
    <row r="458" spans="1:14" x14ac:dyDescent="0.3">
      <c r="A458" t="s">
        <v>471</v>
      </c>
      <c r="B458">
        <v>173</v>
      </c>
      <c r="C458">
        <v>17</v>
      </c>
      <c r="D458" s="1">
        <v>46040.863194444442</v>
      </c>
      <c r="E458">
        <v>99</v>
      </c>
      <c r="F458" t="s">
        <v>15</v>
      </c>
      <c r="G458" t="s">
        <v>10</v>
      </c>
      <c r="H458">
        <v>97</v>
      </c>
      <c r="I458" t="str">
        <f>IFERROR(VLOOKUP(C458, merchants!$A$2:$D$41, 2, FALSE), "Merchant not found")</f>
        <v>Merchant_017</v>
      </c>
      <c r="J458" t="str">
        <f>IFERROR(VLOOKUP(C458, merchants!$A$2:$D$41, 3, FALSE), "Merchant not found")</f>
        <v>grocery</v>
      </c>
      <c r="K458" t="str">
        <f>IFERROR(VLOOKUP(C458, merchants!$A$2:$D$41, 4, FALSE), "Merchant not found")</f>
        <v>North</v>
      </c>
      <c r="L458" s="2">
        <f>HLOOKUP(F458, merchants!$F$1:$I$2, 2, FALSE)</f>
        <v>1.7999999999999999E-2</v>
      </c>
      <c r="M458" t="str">
        <f t="shared" si="14"/>
        <v>Regular</v>
      </c>
      <c r="N458" s="5">
        <f t="shared" si="15"/>
        <v>46040</v>
      </c>
    </row>
    <row r="459" spans="1:14" x14ac:dyDescent="0.3">
      <c r="A459" t="s">
        <v>472</v>
      </c>
      <c r="B459">
        <v>329</v>
      </c>
      <c r="C459">
        <v>32</v>
      </c>
      <c r="D459" s="1">
        <v>46049.656944444447</v>
      </c>
      <c r="E459">
        <v>1499</v>
      </c>
      <c r="F459" t="s">
        <v>12</v>
      </c>
      <c r="G459" t="s">
        <v>10</v>
      </c>
      <c r="H459">
        <v>58</v>
      </c>
      <c r="I459" t="str">
        <f>IFERROR(VLOOKUP(C459, merchants!$A$2:$D$41, 2, FALSE), "Merchant not found")</f>
        <v>Merchant_032</v>
      </c>
      <c r="J459" t="str">
        <f>IFERROR(VLOOKUP(C459, merchants!$A$2:$D$41, 3, FALSE), "Merchant not found")</f>
        <v>food_delivery</v>
      </c>
      <c r="K459" t="str">
        <f>IFERROR(VLOOKUP(C459, merchants!$A$2:$D$41, 4, FALSE), "Merchant not found")</f>
        <v>West</v>
      </c>
      <c r="L459" s="2">
        <f>HLOOKUP(F459, merchants!$F$1:$I$2, 2, FALSE)</f>
        <v>0</v>
      </c>
      <c r="M459" t="str">
        <f t="shared" si="14"/>
        <v>Regular</v>
      </c>
      <c r="N459" s="5">
        <f t="shared" si="15"/>
        <v>46049</v>
      </c>
    </row>
    <row r="460" spans="1:14" x14ac:dyDescent="0.3">
      <c r="A460" t="s">
        <v>473</v>
      </c>
      <c r="B460">
        <v>181</v>
      </c>
      <c r="C460">
        <v>11</v>
      </c>
      <c r="D460" s="1">
        <v>46028.993055555555</v>
      </c>
      <c r="E460">
        <v>1499</v>
      </c>
      <c r="F460" t="s">
        <v>12</v>
      </c>
      <c r="G460" t="s">
        <v>10</v>
      </c>
      <c r="H460">
        <v>17</v>
      </c>
      <c r="I460" t="str">
        <f>IFERROR(VLOOKUP(C460, merchants!$A$2:$D$41, 2, FALSE), "Merchant not found")</f>
        <v>Merchant_011</v>
      </c>
      <c r="J460" t="str">
        <f>IFERROR(VLOOKUP(C460, merchants!$A$2:$D$41, 3, FALSE), "Merchant not found")</f>
        <v>ecommerce</v>
      </c>
      <c r="K460" t="str">
        <f>IFERROR(VLOOKUP(C460, merchants!$A$2:$D$41, 4, FALSE), "Merchant not found")</f>
        <v>North</v>
      </c>
      <c r="L460" s="2">
        <f>HLOOKUP(F460, merchants!$F$1:$I$2, 2, FALSE)</f>
        <v>0</v>
      </c>
      <c r="M460" t="str">
        <f t="shared" si="14"/>
        <v>Regular</v>
      </c>
      <c r="N460" s="5">
        <f t="shared" si="15"/>
        <v>46028</v>
      </c>
    </row>
    <row r="461" spans="1:14" x14ac:dyDescent="0.3">
      <c r="A461" t="s">
        <v>474</v>
      </c>
      <c r="B461">
        <v>95</v>
      </c>
      <c r="C461">
        <v>35</v>
      </c>
      <c r="D461" s="1">
        <v>46046.729861111111</v>
      </c>
      <c r="E461">
        <v>149</v>
      </c>
      <c r="F461" t="s">
        <v>9</v>
      </c>
      <c r="G461" t="s">
        <v>10</v>
      </c>
      <c r="H461">
        <v>82</v>
      </c>
      <c r="I461" t="str">
        <f>IFERROR(VLOOKUP(C461, merchants!$A$2:$D$41, 2, FALSE), "Merchant not found")</f>
        <v>Merchant_035</v>
      </c>
      <c r="J461" t="str">
        <f>IFERROR(VLOOKUP(C461, merchants!$A$2:$D$41, 3, FALSE), "Merchant not found")</f>
        <v>recharge</v>
      </c>
      <c r="K461" t="str">
        <f>IFERROR(VLOOKUP(C461, merchants!$A$2:$D$41, 4, FALSE), "Merchant not found")</f>
        <v>East</v>
      </c>
      <c r="L461" s="2">
        <f>HLOOKUP(F461, merchants!$F$1:$I$2, 2, FALSE)</f>
        <v>1.4999999999999999E-2</v>
      </c>
      <c r="M461" t="str">
        <f t="shared" si="14"/>
        <v>Regular</v>
      </c>
      <c r="N461" s="5">
        <f t="shared" si="15"/>
        <v>46046</v>
      </c>
    </row>
    <row r="462" spans="1:14" x14ac:dyDescent="0.3">
      <c r="A462" t="s">
        <v>475</v>
      </c>
      <c r="B462">
        <v>39</v>
      </c>
      <c r="C462">
        <v>4</v>
      </c>
      <c r="D462" s="1">
        <v>46024.668055555558</v>
      </c>
      <c r="E462">
        <v>149</v>
      </c>
      <c r="F462" t="s">
        <v>15</v>
      </c>
      <c r="G462" t="s">
        <v>10</v>
      </c>
      <c r="H462">
        <v>97</v>
      </c>
      <c r="I462" t="str">
        <f>IFERROR(VLOOKUP(C462, merchants!$A$2:$D$41, 2, FALSE), "Merchant not found")</f>
        <v>Merchant_004</v>
      </c>
      <c r="J462" t="str">
        <f>IFERROR(VLOOKUP(C462, merchants!$A$2:$D$41, 3, FALSE), "Merchant not found")</f>
        <v>ecommerce</v>
      </c>
      <c r="K462" t="str">
        <f>IFERROR(VLOOKUP(C462, merchants!$A$2:$D$41, 4, FALSE), "Merchant not found")</f>
        <v>East</v>
      </c>
      <c r="L462" s="2">
        <f>HLOOKUP(F462, merchants!$F$1:$I$2, 2, FALSE)</f>
        <v>1.7999999999999999E-2</v>
      </c>
      <c r="M462" t="str">
        <f t="shared" si="14"/>
        <v>Regular</v>
      </c>
      <c r="N462" s="5">
        <f t="shared" si="15"/>
        <v>46024</v>
      </c>
    </row>
    <row r="463" spans="1:14" x14ac:dyDescent="0.3">
      <c r="A463" t="s">
        <v>476</v>
      </c>
      <c r="B463">
        <v>323</v>
      </c>
      <c r="C463">
        <v>15</v>
      </c>
      <c r="D463" s="1">
        <v>46023.547222222223</v>
      </c>
      <c r="E463">
        <v>499</v>
      </c>
      <c r="F463" t="s">
        <v>12</v>
      </c>
      <c r="G463" t="s">
        <v>10</v>
      </c>
      <c r="H463">
        <v>8</v>
      </c>
      <c r="I463" t="str">
        <f>IFERROR(VLOOKUP(C463, merchants!$A$2:$D$41, 2, FALSE), "Merchant not found")</f>
        <v>Merchant_015</v>
      </c>
      <c r="J463" t="str">
        <f>IFERROR(VLOOKUP(C463, merchants!$A$2:$D$41, 3, FALSE), "Merchant not found")</f>
        <v>travel</v>
      </c>
      <c r="K463" t="str">
        <f>IFERROR(VLOOKUP(C463, merchants!$A$2:$D$41, 4, FALSE), "Merchant not found")</f>
        <v>North</v>
      </c>
      <c r="L463" s="2">
        <f>HLOOKUP(F463, merchants!$F$1:$I$2, 2, FALSE)</f>
        <v>0</v>
      </c>
      <c r="M463" t="str">
        <f t="shared" si="14"/>
        <v>Regular</v>
      </c>
      <c r="N463" s="5">
        <f t="shared" si="15"/>
        <v>46023</v>
      </c>
    </row>
    <row r="464" spans="1:14" x14ac:dyDescent="0.3">
      <c r="A464" t="s">
        <v>477</v>
      </c>
      <c r="B464">
        <v>112</v>
      </c>
      <c r="C464">
        <v>33</v>
      </c>
      <c r="D464" s="1">
        <v>46045.166666666664</v>
      </c>
      <c r="E464">
        <v>49</v>
      </c>
      <c r="F464" t="s">
        <v>15</v>
      </c>
      <c r="G464" t="s">
        <v>10</v>
      </c>
      <c r="H464">
        <v>58</v>
      </c>
      <c r="I464" t="str">
        <f>IFERROR(VLOOKUP(C464, merchants!$A$2:$D$41, 2, FALSE), "Merchant not found")</f>
        <v>Merchant_033</v>
      </c>
      <c r="J464" t="str">
        <f>IFERROR(VLOOKUP(C464, merchants!$A$2:$D$41, 3, FALSE), "Merchant not found")</f>
        <v>bill_payment</v>
      </c>
      <c r="K464" t="str">
        <f>IFERROR(VLOOKUP(C464, merchants!$A$2:$D$41, 4, FALSE), "Merchant not found")</f>
        <v>East</v>
      </c>
      <c r="L464" s="2">
        <f>HLOOKUP(F464, merchants!$F$1:$I$2, 2, FALSE)</f>
        <v>1.7999999999999999E-2</v>
      </c>
      <c r="M464" t="str">
        <f t="shared" si="14"/>
        <v>Regular</v>
      </c>
      <c r="N464" s="5">
        <f t="shared" si="15"/>
        <v>46045</v>
      </c>
    </row>
    <row r="465" spans="1:14" x14ac:dyDescent="0.3">
      <c r="A465" t="s">
        <v>478</v>
      </c>
      <c r="B465">
        <v>327</v>
      </c>
      <c r="C465">
        <v>40</v>
      </c>
      <c r="D465" s="1">
        <v>46034.068749999999</v>
      </c>
      <c r="E465">
        <v>99</v>
      </c>
      <c r="F465" t="s">
        <v>12</v>
      </c>
      <c r="G465" t="s">
        <v>10</v>
      </c>
      <c r="H465">
        <v>61</v>
      </c>
      <c r="I465" t="str">
        <f>IFERROR(VLOOKUP(C465, merchants!$A$2:$D$41, 2, FALSE), "Merchant not found")</f>
        <v>Merchant_040</v>
      </c>
      <c r="J465" t="str">
        <f>IFERROR(VLOOKUP(C465, merchants!$A$2:$D$41, 3, FALSE), "Merchant not found")</f>
        <v>entertainment</v>
      </c>
      <c r="K465" t="str">
        <f>IFERROR(VLOOKUP(C465, merchants!$A$2:$D$41, 4, FALSE), "Merchant not found")</f>
        <v>South</v>
      </c>
      <c r="L465" s="2">
        <f>HLOOKUP(F465, merchants!$F$1:$I$2, 2, FALSE)</f>
        <v>0</v>
      </c>
      <c r="M465" t="str">
        <f t="shared" si="14"/>
        <v>Regular</v>
      </c>
      <c r="N465" s="5">
        <f t="shared" si="15"/>
        <v>46034</v>
      </c>
    </row>
    <row r="466" spans="1:14" x14ac:dyDescent="0.3">
      <c r="A466" t="s">
        <v>479</v>
      </c>
      <c r="B466">
        <v>4</v>
      </c>
      <c r="C466">
        <v>35</v>
      </c>
      <c r="D466" s="1">
        <v>46044.625694444447</v>
      </c>
      <c r="E466">
        <v>299</v>
      </c>
      <c r="F466" t="s">
        <v>12</v>
      </c>
      <c r="G466" t="s">
        <v>10</v>
      </c>
      <c r="H466">
        <v>70</v>
      </c>
      <c r="I466" t="str">
        <f>IFERROR(VLOOKUP(C466, merchants!$A$2:$D$41, 2, FALSE), "Merchant not found")</f>
        <v>Merchant_035</v>
      </c>
      <c r="J466" t="str">
        <f>IFERROR(VLOOKUP(C466, merchants!$A$2:$D$41, 3, FALSE), "Merchant not found")</f>
        <v>recharge</v>
      </c>
      <c r="K466" t="str">
        <f>IFERROR(VLOOKUP(C466, merchants!$A$2:$D$41, 4, FALSE), "Merchant not found")</f>
        <v>East</v>
      </c>
      <c r="L466" s="2">
        <f>HLOOKUP(F466, merchants!$F$1:$I$2, 2, FALSE)</f>
        <v>0</v>
      </c>
      <c r="M466" t="str">
        <f t="shared" si="14"/>
        <v>Regular</v>
      </c>
      <c r="N466" s="5">
        <f t="shared" si="15"/>
        <v>46044</v>
      </c>
    </row>
    <row r="467" spans="1:14" x14ac:dyDescent="0.3">
      <c r="A467" t="s">
        <v>480</v>
      </c>
      <c r="B467">
        <v>272</v>
      </c>
      <c r="C467">
        <v>18</v>
      </c>
      <c r="D467" s="1">
        <v>46036.000694444447</v>
      </c>
      <c r="E467">
        <v>149</v>
      </c>
      <c r="F467" t="s">
        <v>12</v>
      </c>
      <c r="G467" t="s">
        <v>10</v>
      </c>
      <c r="H467">
        <v>68</v>
      </c>
      <c r="I467" t="str">
        <f>IFERROR(VLOOKUP(C467, merchants!$A$2:$D$41, 2, FALSE), "Merchant not found")</f>
        <v>Merchant_018</v>
      </c>
      <c r="J467" t="str">
        <f>IFERROR(VLOOKUP(C467, merchants!$A$2:$D$41, 3, FALSE), "Merchant not found")</f>
        <v>grocery</v>
      </c>
      <c r="K467" t="str">
        <f>IFERROR(VLOOKUP(C467, merchants!$A$2:$D$41, 4, FALSE), "Merchant not found")</f>
        <v>West</v>
      </c>
      <c r="L467" s="2">
        <f>HLOOKUP(F467, merchants!$F$1:$I$2, 2, FALSE)</f>
        <v>0</v>
      </c>
      <c r="M467" t="str">
        <f t="shared" si="14"/>
        <v>Regular</v>
      </c>
      <c r="N467" s="5">
        <f t="shared" si="15"/>
        <v>46036</v>
      </c>
    </row>
    <row r="468" spans="1:14" x14ac:dyDescent="0.3">
      <c r="A468" t="s">
        <v>481</v>
      </c>
      <c r="B468">
        <v>346</v>
      </c>
      <c r="C468">
        <v>28</v>
      </c>
      <c r="D468" s="1">
        <v>46032.022222222222</v>
      </c>
      <c r="E468">
        <v>499</v>
      </c>
      <c r="F468" t="s">
        <v>12</v>
      </c>
      <c r="G468" t="s">
        <v>10</v>
      </c>
      <c r="H468">
        <v>22</v>
      </c>
      <c r="I468" t="str">
        <f>IFERROR(VLOOKUP(C468, merchants!$A$2:$D$41, 2, FALSE), "Merchant not found")</f>
        <v>Merchant_028</v>
      </c>
      <c r="J468" t="str">
        <f>IFERROR(VLOOKUP(C468, merchants!$A$2:$D$41, 3, FALSE), "Merchant not found")</f>
        <v>ecommerce</v>
      </c>
      <c r="K468" t="str">
        <f>IFERROR(VLOOKUP(C468, merchants!$A$2:$D$41, 4, FALSE), "Merchant not found")</f>
        <v>South</v>
      </c>
      <c r="L468" s="2">
        <f>HLOOKUP(F468, merchants!$F$1:$I$2, 2, FALSE)</f>
        <v>0</v>
      </c>
      <c r="M468" t="str">
        <f t="shared" si="14"/>
        <v>Regular</v>
      </c>
      <c r="N468" s="5">
        <f t="shared" si="15"/>
        <v>46032</v>
      </c>
    </row>
    <row r="469" spans="1:14" x14ac:dyDescent="0.3">
      <c r="A469" t="s">
        <v>482</v>
      </c>
      <c r="B469">
        <v>77</v>
      </c>
      <c r="C469">
        <v>16</v>
      </c>
      <c r="D469" s="1">
        <v>46026.147916666669</v>
      </c>
      <c r="E469">
        <v>49</v>
      </c>
      <c r="F469" t="s">
        <v>9</v>
      </c>
      <c r="G469" t="s">
        <v>10</v>
      </c>
      <c r="H469">
        <v>24</v>
      </c>
      <c r="I469" t="str">
        <f>IFERROR(VLOOKUP(C469, merchants!$A$2:$D$41, 2, FALSE), "Merchant not found")</f>
        <v>Merchant_016</v>
      </c>
      <c r="J469" t="str">
        <f>IFERROR(VLOOKUP(C469, merchants!$A$2:$D$41, 3, FALSE), "Merchant not found")</f>
        <v>bill_payment</v>
      </c>
      <c r="K469" t="str">
        <f>IFERROR(VLOOKUP(C469, merchants!$A$2:$D$41, 4, FALSE), "Merchant not found")</f>
        <v>West</v>
      </c>
      <c r="L469" s="2">
        <f>HLOOKUP(F469, merchants!$F$1:$I$2, 2, FALSE)</f>
        <v>1.4999999999999999E-2</v>
      </c>
      <c r="M469" t="str">
        <f t="shared" si="14"/>
        <v>Regular</v>
      </c>
      <c r="N469" s="5">
        <f t="shared" si="15"/>
        <v>46026</v>
      </c>
    </row>
    <row r="470" spans="1:14" x14ac:dyDescent="0.3">
      <c r="A470" t="s">
        <v>483</v>
      </c>
      <c r="B470">
        <v>182</v>
      </c>
      <c r="C470">
        <v>18</v>
      </c>
      <c r="D470" s="1">
        <v>46042.677777777775</v>
      </c>
      <c r="E470">
        <v>149</v>
      </c>
      <c r="F470" t="s">
        <v>24</v>
      </c>
      <c r="G470" t="s">
        <v>10</v>
      </c>
      <c r="H470">
        <v>50</v>
      </c>
      <c r="I470" t="str">
        <f>IFERROR(VLOOKUP(C470, merchants!$A$2:$D$41, 2, FALSE), "Merchant not found")</f>
        <v>Merchant_018</v>
      </c>
      <c r="J470" t="str">
        <f>IFERROR(VLOOKUP(C470, merchants!$A$2:$D$41, 3, FALSE), "Merchant not found")</f>
        <v>grocery</v>
      </c>
      <c r="K470" t="str">
        <f>IFERROR(VLOOKUP(C470, merchants!$A$2:$D$41, 4, FALSE), "Merchant not found")</f>
        <v>West</v>
      </c>
      <c r="L470" s="2">
        <f>HLOOKUP(F470, merchants!$F$1:$I$2, 2, FALSE)</f>
        <v>0.02</v>
      </c>
      <c r="M470" t="str">
        <f t="shared" si="14"/>
        <v>Regular</v>
      </c>
      <c r="N470" s="5">
        <f t="shared" si="15"/>
        <v>46042</v>
      </c>
    </row>
    <row r="471" spans="1:14" x14ac:dyDescent="0.3">
      <c r="A471" t="s">
        <v>484</v>
      </c>
      <c r="B471">
        <v>236</v>
      </c>
      <c r="C471">
        <v>37</v>
      </c>
      <c r="D471" s="1">
        <v>46025.475694444445</v>
      </c>
      <c r="E471">
        <v>299</v>
      </c>
      <c r="F471" t="s">
        <v>24</v>
      </c>
      <c r="G471" t="s">
        <v>10</v>
      </c>
      <c r="H471">
        <v>31</v>
      </c>
      <c r="I471" t="str">
        <f>IFERROR(VLOOKUP(C471, merchants!$A$2:$D$41, 2, FALSE), "Merchant not found")</f>
        <v>Merchant_037</v>
      </c>
      <c r="J471" t="str">
        <f>IFERROR(VLOOKUP(C471, merchants!$A$2:$D$41, 3, FALSE), "Merchant not found")</f>
        <v>entertainment</v>
      </c>
      <c r="K471" t="str">
        <f>IFERROR(VLOOKUP(C471, merchants!$A$2:$D$41, 4, FALSE), "Merchant not found")</f>
        <v>South</v>
      </c>
      <c r="L471" s="2">
        <f>HLOOKUP(F471, merchants!$F$1:$I$2, 2, FALSE)</f>
        <v>0.02</v>
      </c>
      <c r="M471" t="str">
        <f t="shared" si="14"/>
        <v>Regular</v>
      </c>
      <c r="N471" s="5">
        <f t="shared" si="15"/>
        <v>46025</v>
      </c>
    </row>
    <row r="472" spans="1:14" x14ac:dyDescent="0.3">
      <c r="A472" t="s">
        <v>485</v>
      </c>
      <c r="B472">
        <v>42</v>
      </c>
      <c r="C472">
        <v>3</v>
      </c>
      <c r="D472" s="1">
        <v>46045.304861111108</v>
      </c>
      <c r="E472">
        <v>49</v>
      </c>
      <c r="F472" t="s">
        <v>12</v>
      </c>
      <c r="G472" t="s">
        <v>10</v>
      </c>
      <c r="H472">
        <v>11</v>
      </c>
      <c r="I472" t="str">
        <f>IFERROR(VLOOKUP(C472, merchants!$A$2:$D$41, 2, FALSE), "Merchant not found")</f>
        <v>Merchant_003</v>
      </c>
      <c r="J472" t="str">
        <f>IFERROR(VLOOKUP(C472, merchants!$A$2:$D$41, 3, FALSE), "Merchant not found")</f>
        <v>grocery</v>
      </c>
      <c r="K472" t="str">
        <f>IFERROR(VLOOKUP(C472, merchants!$A$2:$D$41, 4, FALSE), "Merchant not found")</f>
        <v>East</v>
      </c>
      <c r="L472" s="2">
        <f>HLOOKUP(F472, merchants!$F$1:$I$2, 2, FALSE)</f>
        <v>0</v>
      </c>
      <c r="M472" t="str">
        <f t="shared" si="14"/>
        <v>Regular</v>
      </c>
      <c r="N472" s="5">
        <f t="shared" si="15"/>
        <v>46045</v>
      </c>
    </row>
    <row r="473" spans="1:14" x14ac:dyDescent="0.3">
      <c r="A473" t="s">
        <v>486</v>
      </c>
      <c r="B473">
        <v>283</v>
      </c>
      <c r="C473">
        <v>31</v>
      </c>
      <c r="D473" s="1">
        <v>46035.51666666667</v>
      </c>
      <c r="E473">
        <v>299</v>
      </c>
      <c r="F473" t="s">
        <v>15</v>
      </c>
      <c r="G473" t="s">
        <v>10</v>
      </c>
      <c r="H473">
        <v>7</v>
      </c>
      <c r="I473" t="str">
        <f>IFERROR(VLOOKUP(C473, merchants!$A$2:$D$41, 2, FALSE), "Merchant not found")</f>
        <v>Merchant_031</v>
      </c>
      <c r="J473" t="str">
        <f>IFERROR(VLOOKUP(C473, merchants!$A$2:$D$41, 3, FALSE), "Merchant not found")</f>
        <v>bill_payment</v>
      </c>
      <c r="K473" t="str">
        <f>IFERROR(VLOOKUP(C473, merchants!$A$2:$D$41, 4, FALSE), "Merchant not found")</f>
        <v>East</v>
      </c>
      <c r="L473" s="2">
        <f>HLOOKUP(F473, merchants!$F$1:$I$2, 2, FALSE)</f>
        <v>1.7999999999999999E-2</v>
      </c>
      <c r="M473" t="str">
        <f t="shared" si="14"/>
        <v>Regular</v>
      </c>
      <c r="N473" s="5">
        <f t="shared" si="15"/>
        <v>46035</v>
      </c>
    </row>
    <row r="474" spans="1:14" x14ac:dyDescent="0.3">
      <c r="A474" t="s">
        <v>487</v>
      </c>
      <c r="B474">
        <v>88</v>
      </c>
      <c r="C474">
        <v>6</v>
      </c>
      <c r="D474" s="1">
        <v>46043.030555555553</v>
      </c>
      <c r="E474">
        <v>49</v>
      </c>
      <c r="F474" t="s">
        <v>12</v>
      </c>
      <c r="G474" t="s">
        <v>10</v>
      </c>
      <c r="H474">
        <v>63</v>
      </c>
      <c r="I474" t="str">
        <f>IFERROR(VLOOKUP(C474, merchants!$A$2:$D$41, 2, FALSE), "Merchant not found")</f>
        <v>Merchant_006</v>
      </c>
      <c r="J474" t="str">
        <f>IFERROR(VLOOKUP(C474, merchants!$A$2:$D$41, 3, FALSE), "Merchant not found")</f>
        <v>food_delivery</v>
      </c>
      <c r="K474" t="str">
        <f>IFERROR(VLOOKUP(C474, merchants!$A$2:$D$41, 4, FALSE), "Merchant not found")</f>
        <v>South</v>
      </c>
      <c r="L474" s="2">
        <f>HLOOKUP(F474, merchants!$F$1:$I$2, 2, FALSE)</f>
        <v>0</v>
      </c>
      <c r="M474" t="str">
        <f t="shared" si="14"/>
        <v>Regular</v>
      </c>
      <c r="N474" s="5">
        <f t="shared" si="15"/>
        <v>46043</v>
      </c>
    </row>
    <row r="475" spans="1:14" x14ac:dyDescent="0.3">
      <c r="A475" t="s">
        <v>488</v>
      </c>
      <c r="B475">
        <v>170</v>
      </c>
      <c r="C475">
        <v>37</v>
      </c>
      <c r="D475" s="1">
        <v>46050.570138888892</v>
      </c>
      <c r="E475">
        <v>99</v>
      </c>
      <c r="F475" t="s">
        <v>12</v>
      </c>
      <c r="G475" t="s">
        <v>25</v>
      </c>
      <c r="H475">
        <v>12</v>
      </c>
      <c r="I475" t="str">
        <f>IFERROR(VLOOKUP(C475, merchants!$A$2:$D$41, 2, FALSE), "Merchant not found")</f>
        <v>Merchant_037</v>
      </c>
      <c r="J475" t="str">
        <f>IFERROR(VLOOKUP(C475, merchants!$A$2:$D$41, 3, FALSE), "Merchant not found")</f>
        <v>entertainment</v>
      </c>
      <c r="K475" t="str">
        <f>IFERROR(VLOOKUP(C475, merchants!$A$2:$D$41, 4, FALSE), "Merchant not found")</f>
        <v>South</v>
      </c>
      <c r="L475" s="2">
        <f>HLOOKUP(F475, merchants!$F$1:$I$2, 2, FALSE)</f>
        <v>0</v>
      </c>
      <c r="M475" t="str">
        <f t="shared" si="14"/>
        <v>Regular</v>
      </c>
      <c r="N475" s="5">
        <f t="shared" si="15"/>
        <v>46050</v>
      </c>
    </row>
    <row r="476" spans="1:14" x14ac:dyDescent="0.3">
      <c r="A476" t="s">
        <v>489</v>
      </c>
      <c r="B476">
        <v>22</v>
      </c>
      <c r="C476">
        <v>15</v>
      </c>
      <c r="D476" s="1">
        <v>46051.706944444442</v>
      </c>
      <c r="E476">
        <v>49</v>
      </c>
      <c r="F476" t="s">
        <v>15</v>
      </c>
      <c r="G476" t="s">
        <v>10</v>
      </c>
      <c r="H476">
        <v>27</v>
      </c>
      <c r="I476" t="str">
        <f>IFERROR(VLOOKUP(C476, merchants!$A$2:$D$41, 2, FALSE), "Merchant not found")</f>
        <v>Merchant_015</v>
      </c>
      <c r="J476" t="str">
        <f>IFERROR(VLOOKUP(C476, merchants!$A$2:$D$41, 3, FALSE), "Merchant not found")</f>
        <v>travel</v>
      </c>
      <c r="K476" t="str">
        <f>IFERROR(VLOOKUP(C476, merchants!$A$2:$D$41, 4, FALSE), "Merchant not found")</f>
        <v>North</v>
      </c>
      <c r="L476" s="2">
        <f>HLOOKUP(F476, merchants!$F$1:$I$2, 2, FALSE)</f>
        <v>1.7999999999999999E-2</v>
      </c>
      <c r="M476" t="str">
        <f t="shared" si="14"/>
        <v>Regular</v>
      </c>
      <c r="N476" s="5">
        <f t="shared" si="15"/>
        <v>46051</v>
      </c>
    </row>
    <row r="477" spans="1:14" x14ac:dyDescent="0.3">
      <c r="A477" t="s">
        <v>490</v>
      </c>
      <c r="B477">
        <v>291</v>
      </c>
      <c r="C477">
        <v>31</v>
      </c>
      <c r="D477" s="1">
        <v>46051.955555555556</v>
      </c>
      <c r="E477">
        <v>49</v>
      </c>
      <c r="F477" t="s">
        <v>15</v>
      </c>
      <c r="G477" t="s">
        <v>25</v>
      </c>
      <c r="H477">
        <v>34</v>
      </c>
      <c r="I477" t="str">
        <f>IFERROR(VLOOKUP(C477, merchants!$A$2:$D$41, 2, FALSE), "Merchant not found")</f>
        <v>Merchant_031</v>
      </c>
      <c r="J477" t="str">
        <f>IFERROR(VLOOKUP(C477, merchants!$A$2:$D$41, 3, FALSE), "Merchant not found")</f>
        <v>bill_payment</v>
      </c>
      <c r="K477" t="str">
        <f>IFERROR(VLOOKUP(C477, merchants!$A$2:$D$41, 4, FALSE), "Merchant not found")</f>
        <v>East</v>
      </c>
      <c r="L477" s="2">
        <f>HLOOKUP(F477, merchants!$F$1:$I$2, 2, FALSE)</f>
        <v>1.7999999999999999E-2</v>
      </c>
      <c r="M477" t="str">
        <f t="shared" si="14"/>
        <v>Regular</v>
      </c>
      <c r="N477" s="5">
        <f t="shared" si="15"/>
        <v>46051</v>
      </c>
    </row>
    <row r="478" spans="1:14" x14ac:dyDescent="0.3">
      <c r="A478" t="s">
        <v>491</v>
      </c>
      <c r="B478">
        <v>144</v>
      </c>
      <c r="C478">
        <v>35</v>
      </c>
      <c r="D478" s="1">
        <v>46024.113194444442</v>
      </c>
      <c r="E478">
        <v>1499</v>
      </c>
      <c r="F478" t="s">
        <v>12</v>
      </c>
      <c r="G478" t="s">
        <v>10</v>
      </c>
      <c r="H478">
        <v>72</v>
      </c>
      <c r="I478" t="str">
        <f>IFERROR(VLOOKUP(C478, merchants!$A$2:$D$41, 2, FALSE), "Merchant not found")</f>
        <v>Merchant_035</v>
      </c>
      <c r="J478" t="str">
        <f>IFERROR(VLOOKUP(C478, merchants!$A$2:$D$41, 3, FALSE), "Merchant not found")</f>
        <v>recharge</v>
      </c>
      <c r="K478" t="str">
        <f>IFERROR(VLOOKUP(C478, merchants!$A$2:$D$41, 4, FALSE), "Merchant not found")</f>
        <v>East</v>
      </c>
      <c r="L478" s="2">
        <f>HLOOKUP(F478, merchants!$F$1:$I$2, 2, FALSE)</f>
        <v>0</v>
      </c>
      <c r="M478" t="str">
        <f t="shared" si="14"/>
        <v>Regular</v>
      </c>
      <c r="N478" s="5">
        <f t="shared" si="15"/>
        <v>46024</v>
      </c>
    </row>
    <row r="479" spans="1:14" x14ac:dyDescent="0.3">
      <c r="A479" t="s">
        <v>492</v>
      </c>
      <c r="B479">
        <v>162</v>
      </c>
      <c r="C479">
        <v>2</v>
      </c>
      <c r="D479" s="1">
        <v>46044.049305555556</v>
      </c>
      <c r="E479">
        <v>299</v>
      </c>
      <c r="F479" t="s">
        <v>9</v>
      </c>
      <c r="G479" t="s">
        <v>10</v>
      </c>
      <c r="H479">
        <v>26</v>
      </c>
      <c r="I479" t="str">
        <f>IFERROR(VLOOKUP(C479, merchants!$A$2:$D$41, 2, FALSE), "Merchant not found")</f>
        <v>Merchant_002</v>
      </c>
      <c r="J479" t="str">
        <f>IFERROR(VLOOKUP(C479, merchants!$A$2:$D$41, 3, FALSE), "Merchant not found")</f>
        <v>grocery</v>
      </c>
      <c r="K479" t="str">
        <f>IFERROR(VLOOKUP(C479, merchants!$A$2:$D$41, 4, FALSE), "Merchant not found")</f>
        <v>West</v>
      </c>
      <c r="L479" s="2">
        <f>HLOOKUP(F479, merchants!$F$1:$I$2, 2, FALSE)</f>
        <v>1.4999999999999999E-2</v>
      </c>
      <c r="M479" t="str">
        <f t="shared" si="14"/>
        <v>Regular</v>
      </c>
      <c r="N479" s="5">
        <f t="shared" si="15"/>
        <v>46044</v>
      </c>
    </row>
    <row r="480" spans="1:14" x14ac:dyDescent="0.3">
      <c r="A480" t="s">
        <v>493</v>
      </c>
      <c r="B480">
        <v>204</v>
      </c>
      <c r="C480">
        <v>5</v>
      </c>
      <c r="D480" s="1">
        <v>46041.2</v>
      </c>
      <c r="E480">
        <v>49</v>
      </c>
      <c r="F480" t="s">
        <v>12</v>
      </c>
      <c r="G480" t="s">
        <v>10</v>
      </c>
      <c r="H480">
        <v>38</v>
      </c>
      <c r="I480" t="str">
        <f>IFERROR(VLOOKUP(C480, merchants!$A$2:$D$41, 2, FALSE), "Merchant not found")</f>
        <v>Merchant_005</v>
      </c>
      <c r="J480" t="str">
        <f>IFERROR(VLOOKUP(C480, merchants!$A$2:$D$41, 3, FALSE), "Merchant not found")</f>
        <v>recharge</v>
      </c>
      <c r="K480" t="str">
        <f>IFERROR(VLOOKUP(C480, merchants!$A$2:$D$41, 4, FALSE), "Merchant not found")</f>
        <v>South</v>
      </c>
      <c r="L480" s="2">
        <f>HLOOKUP(F480, merchants!$F$1:$I$2, 2, FALSE)</f>
        <v>0</v>
      </c>
      <c r="M480" t="str">
        <f t="shared" si="14"/>
        <v>Regular</v>
      </c>
      <c r="N480" s="5">
        <f t="shared" si="15"/>
        <v>46041</v>
      </c>
    </row>
    <row r="481" spans="1:14" x14ac:dyDescent="0.3">
      <c r="A481" t="s">
        <v>494</v>
      </c>
      <c r="B481">
        <v>291</v>
      </c>
      <c r="C481">
        <v>25</v>
      </c>
      <c r="D481" s="1">
        <v>46028.760416666664</v>
      </c>
      <c r="E481">
        <v>99</v>
      </c>
      <c r="F481" t="s">
        <v>9</v>
      </c>
      <c r="G481" t="s">
        <v>10</v>
      </c>
      <c r="H481">
        <v>86</v>
      </c>
      <c r="I481" t="str">
        <f>IFERROR(VLOOKUP(C481, merchants!$A$2:$D$41, 2, FALSE), "Merchant not found")</f>
        <v>Merchant_025</v>
      </c>
      <c r="J481" t="str">
        <f>IFERROR(VLOOKUP(C481, merchants!$A$2:$D$41, 3, FALSE), "Merchant not found")</f>
        <v>travel</v>
      </c>
      <c r="K481" t="str">
        <f>IFERROR(VLOOKUP(C481, merchants!$A$2:$D$41, 4, FALSE), "Merchant not found")</f>
        <v>South</v>
      </c>
      <c r="L481" s="2">
        <f>HLOOKUP(F481, merchants!$F$1:$I$2, 2, FALSE)</f>
        <v>1.4999999999999999E-2</v>
      </c>
      <c r="M481" t="str">
        <f t="shared" si="14"/>
        <v>Regular</v>
      </c>
      <c r="N481" s="5">
        <f t="shared" si="15"/>
        <v>46028</v>
      </c>
    </row>
    <row r="482" spans="1:14" x14ac:dyDescent="0.3">
      <c r="A482" t="s">
        <v>495</v>
      </c>
      <c r="B482">
        <v>197</v>
      </c>
      <c r="C482">
        <v>9</v>
      </c>
      <c r="D482" s="1">
        <v>46051.722916666666</v>
      </c>
      <c r="E482">
        <v>49</v>
      </c>
      <c r="F482" t="s">
        <v>9</v>
      </c>
      <c r="G482" t="s">
        <v>25</v>
      </c>
      <c r="H482">
        <v>88</v>
      </c>
      <c r="I482" t="str">
        <f>IFERROR(VLOOKUP(C482, merchants!$A$2:$D$41, 2, FALSE), "Merchant not found")</f>
        <v>Merchant_009</v>
      </c>
      <c r="J482" t="str">
        <f>IFERROR(VLOOKUP(C482, merchants!$A$2:$D$41, 3, FALSE), "Merchant not found")</f>
        <v>ecommerce</v>
      </c>
      <c r="K482" t="str">
        <f>IFERROR(VLOOKUP(C482, merchants!$A$2:$D$41, 4, FALSE), "Merchant not found")</f>
        <v>North</v>
      </c>
      <c r="L482" s="2">
        <f>HLOOKUP(F482, merchants!$F$1:$I$2, 2, FALSE)</f>
        <v>1.4999999999999999E-2</v>
      </c>
      <c r="M482" t="str">
        <f t="shared" si="14"/>
        <v>Regular</v>
      </c>
      <c r="N482" s="5">
        <f t="shared" si="15"/>
        <v>46051</v>
      </c>
    </row>
    <row r="483" spans="1:14" x14ac:dyDescent="0.3">
      <c r="A483" t="s">
        <v>496</v>
      </c>
      <c r="B483">
        <v>178</v>
      </c>
      <c r="C483">
        <v>4</v>
      </c>
      <c r="D483" s="1">
        <v>46046.105555555558</v>
      </c>
      <c r="E483">
        <v>1499</v>
      </c>
      <c r="F483" t="s">
        <v>12</v>
      </c>
      <c r="G483" t="s">
        <v>10</v>
      </c>
      <c r="H483">
        <v>12</v>
      </c>
      <c r="I483" t="str">
        <f>IFERROR(VLOOKUP(C483, merchants!$A$2:$D$41, 2, FALSE), "Merchant not found")</f>
        <v>Merchant_004</v>
      </c>
      <c r="J483" t="str">
        <f>IFERROR(VLOOKUP(C483, merchants!$A$2:$D$41, 3, FALSE), "Merchant not found")</f>
        <v>ecommerce</v>
      </c>
      <c r="K483" t="str">
        <f>IFERROR(VLOOKUP(C483, merchants!$A$2:$D$41, 4, FALSE), "Merchant not found")</f>
        <v>East</v>
      </c>
      <c r="L483" s="2">
        <f>HLOOKUP(F483, merchants!$F$1:$I$2, 2, FALSE)</f>
        <v>0</v>
      </c>
      <c r="M483" t="str">
        <f t="shared" si="14"/>
        <v>Regular</v>
      </c>
      <c r="N483" s="5">
        <f t="shared" si="15"/>
        <v>46046</v>
      </c>
    </row>
    <row r="484" spans="1:14" x14ac:dyDescent="0.3">
      <c r="A484" t="s">
        <v>497</v>
      </c>
      <c r="B484">
        <v>39</v>
      </c>
      <c r="C484">
        <v>22</v>
      </c>
      <c r="D484" s="1">
        <v>46036.328472222223</v>
      </c>
      <c r="E484">
        <v>799</v>
      </c>
      <c r="F484" t="s">
        <v>15</v>
      </c>
      <c r="G484" t="s">
        <v>10</v>
      </c>
      <c r="H484">
        <v>77</v>
      </c>
      <c r="I484" t="str">
        <f>IFERROR(VLOOKUP(C484, merchants!$A$2:$D$41, 2, FALSE), "Merchant not found")</f>
        <v>Merchant_022</v>
      </c>
      <c r="J484" t="str">
        <f>IFERROR(VLOOKUP(C484, merchants!$A$2:$D$41, 3, FALSE), "Merchant not found")</f>
        <v>travel</v>
      </c>
      <c r="K484" t="str">
        <f>IFERROR(VLOOKUP(C484, merchants!$A$2:$D$41, 4, FALSE), "Merchant not found")</f>
        <v>South</v>
      </c>
      <c r="L484" s="2">
        <f>HLOOKUP(F484, merchants!$F$1:$I$2, 2, FALSE)</f>
        <v>1.7999999999999999E-2</v>
      </c>
      <c r="M484" t="str">
        <f t="shared" si="14"/>
        <v>Regular</v>
      </c>
      <c r="N484" s="5">
        <f t="shared" si="15"/>
        <v>46036</v>
      </c>
    </row>
    <row r="485" spans="1:14" x14ac:dyDescent="0.3">
      <c r="A485" t="s">
        <v>498</v>
      </c>
      <c r="B485">
        <v>204</v>
      </c>
      <c r="C485">
        <v>21</v>
      </c>
      <c r="D485" s="1">
        <v>46047.818055555559</v>
      </c>
      <c r="E485">
        <v>299</v>
      </c>
      <c r="F485" t="s">
        <v>9</v>
      </c>
      <c r="G485" t="s">
        <v>10</v>
      </c>
      <c r="H485">
        <v>3</v>
      </c>
      <c r="I485" t="str">
        <f>IFERROR(VLOOKUP(C485, merchants!$A$2:$D$41, 2, FALSE), "Merchant not found")</f>
        <v>Merchant_021</v>
      </c>
      <c r="J485" t="str">
        <f>IFERROR(VLOOKUP(C485, merchants!$A$2:$D$41, 3, FALSE), "Merchant not found")</f>
        <v>food_delivery</v>
      </c>
      <c r="K485" t="str">
        <f>IFERROR(VLOOKUP(C485, merchants!$A$2:$D$41, 4, FALSE), "Merchant not found")</f>
        <v>East</v>
      </c>
      <c r="L485" s="2">
        <f>HLOOKUP(F485, merchants!$F$1:$I$2, 2, FALSE)</f>
        <v>1.4999999999999999E-2</v>
      </c>
      <c r="M485" t="str">
        <f t="shared" si="14"/>
        <v>Regular</v>
      </c>
      <c r="N485" s="5">
        <f t="shared" si="15"/>
        <v>46047</v>
      </c>
    </row>
    <row r="486" spans="1:14" x14ac:dyDescent="0.3">
      <c r="A486" t="s">
        <v>499</v>
      </c>
      <c r="B486">
        <v>231</v>
      </c>
      <c r="C486">
        <v>32</v>
      </c>
      <c r="D486" s="1">
        <v>46043.368055555555</v>
      </c>
      <c r="E486">
        <v>299</v>
      </c>
      <c r="F486" t="s">
        <v>12</v>
      </c>
      <c r="G486" t="s">
        <v>10</v>
      </c>
      <c r="H486">
        <v>29</v>
      </c>
      <c r="I486" t="str">
        <f>IFERROR(VLOOKUP(C486, merchants!$A$2:$D$41, 2, FALSE), "Merchant not found")</f>
        <v>Merchant_032</v>
      </c>
      <c r="J486" t="str">
        <f>IFERROR(VLOOKUP(C486, merchants!$A$2:$D$41, 3, FALSE), "Merchant not found")</f>
        <v>food_delivery</v>
      </c>
      <c r="K486" t="str">
        <f>IFERROR(VLOOKUP(C486, merchants!$A$2:$D$41, 4, FALSE), "Merchant not found")</f>
        <v>West</v>
      </c>
      <c r="L486" s="2">
        <f>HLOOKUP(F486, merchants!$F$1:$I$2, 2, FALSE)</f>
        <v>0</v>
      </c>
      <c r="M486" t="str">
        <f t="shared" si="14"/>
        <v>Regular</v>
      </c>
      <c r="N486" s="5">
        <f t="shared" si="15"/>
        <v>46043</v>
      </c>
    </row>
    <row r="487" spans="1:14" x14ac:dyDescent="0.3">
      <c r="A487" t="s">
        <v>500</v>
      </c>
      <c r="B487">
        <v>222</v>
      </c>
      <c r="C487">
        <v>12</v>
      </c>
      <c r="D487" s="1">
        <v>46034.724999999999</v>
      </c>
      <c r="E487">
        <v>499</v>
      </c>
      <c r="F487" t="s">
        <v>9</v>
      </c>
      <c r="G487" t="s">
        <v>25</v>
      </c>
      <c r="H487">
        <v>87</v>
      </c>
      <c r="I487" t="str">
        <f>IFERROR(VLOOKUP(C487, merchants!$A$2:$D$41, 2, FALSE), "Merchant not found")</f>
        <v>Merchant_012</v>
      </c>
      <c r="J487" t="str">
        <f>IFERROR(VLOOKUP(C487, merchants!$A$2:$D$41, 3, FALSE), "Merchant not found")</f>
        <v>ecommerce</v>
      </c>
      <c r="K487" t="str">
        <f>IFERROR(VLOOKUP(C487, merchants!$A$2:$D$41, 4, FALSE), "Merchant not found")</f>
        <v>East</v>
      </c>
      <c r="L487" s="2">
        <f>HLOOKUP(F487, merchants!$F$1:$I$2, 2, FALSE)</f>
        <v>1.4999999999999999E-2</v>
      </c>
      <c r="M487" t="str">
        <f t="shared" si="14"/>
        <v>Regular</v>
      </c>
      <c r="N487" s="5">
        <f t="shared" si="15"/>
        <v>46034</v>
      </c>
    </row>
    <row r="488" spans="1:14" x14ac:dyDescent="0.3">
      <c r="A488" t="s">
        <v>501</v>
      </c>
      <c r="B488">
        <v>44</v>
      </c>
      <c r="C488">
        <v>40</v>
      </c>
      <c r="D488" s="1">
        <v>46041.89166666667</v>
      </c>
      <c r="E488">
        <v>499</v>
      </c>
      <c r="F488" t="s">
        <v>12</v>
      </c>
      <c r="G488" t="s">
        <v>10</v>
      </c>
      <c r="H488">
        <v>37</v>
      </c>
      <c r="I488" t="str">
        <f>IFERROR(VLOOKUP(C488, merchants!$A$2:$D$41, 2, FALSE), "Merchant not found")</f>
        <v>Merchant_040</v>
      </c>
      <c r="J488" t="str">
        <f>IFERROR(VLOOKUP(C488, merchants!$A$2:$D$41, 3, FALSE), "Merchant not found")</f>
        <v>entertainment</v>
      </c>
      <c r="K488" t="str">
        <f>IFERROR(VLOOKUP(C488, merchants!$A$2:$D$41, 4, FALSE), "Merchant not found")</f>
        <v>South</v>
      </c>
      <c r="L488" s="2">
        <f>HLOOKUP(F488, merchants!$F$1:$I$2, 2, FALSE)</f>
        <v>0</v>
      </c>
      <c r="M488" t="str">
        <f t="shared" si="14"/>
        <v>Regular</v>
      </c>
      <c r="N488" s="5">
        <f t="shared" si="15"/>
        <v>46041</v>
      </c>
    </row>
    <row r="489" spans="1:14" x14ac:dyDescent="0.3">
      <c r="A489" t="s">
        <v>502</v>
      </c>
      <c r="B489">
        <v>38</v>
      </c>
      <c r="C489">
        <v>6</v>
      </c>
      <c r="D489" s="1">
        <v>46048.322916666664</v>
      </c>
      <c r="E489">
        <v>49</v>
      </c>
      <c r="F489" t="s">
        <v>9</v>
      </c>
      <c r="G489" t="s">
        <v>10</v>
      </c>
      <c r="H489">
        <v>34</v>
      </c>
      <c r="I489" t="str">
        <f>IFERROR(VLOOKUP(C489, merchants!$A$2:$D$41, 2, FALSE), "Merchant not found")</f>
        <v>Merchant_006</v>
      </c>
      <c r="J489" t="str">
        <f>IFERROR(VLOOKUP(C489, merchants!$A$2:$D$41, 3, FALSE), "Merchant not found")</f>
        <v>food_delivery</v>
      </c>
      <c r="K489" t="str">
        <f>IFERROR(VLOOKUP(C489, merchants!$A$2:$D$41, 4, FALSE), "Merchant not found")</f>
        <v>South</v>
      </c>
      <c r="L489" s="2">
        <f>HLOOKUP(F489, merchants!$F$1:$I$2, 2, FALSE)</f>
        <v>1.4999999999999999E-2</v>
      </c>
      <c r="M489" t="str">
        <f t="shared" si="14"/>
        <v>Regular</v>
      </c>
      <c r="N489" s="5">
        <f t="shared" si="15"/>
        <v>46048</v>
      </c>
    </row>
    <row r="490" spans="1:14" x14ac:dyDescent="0.3">
      <c r="A490" t="s">
        <v>503</v>
      </c>
      <c r="B490">
        <v>325</v>
      </c>
      <c r="C490">
        <v>10</v>
      </c>
      <c r="D490" s="1">
        <v>46027.53125</v>
      </c>
      <c r="E490">
        <v>49</v>
      </c>
      <c r="F490" t="s">
        <v>15</v>
      </c>
      <c r="G490" t="s">
        <v>38</v>
      </c>
      <c r="H490">
        <v>94</v>
      </c>
      <c r="I490" t="str">
        <f>IFERROR(VLOOKUP(C490, merchants!$A$2:$D$41, 2, FALSE), "Merchant not found")</f>
        <v>Merchant_010</v>
      </c>
      <c r="J490" t="str">
        <f>IFERROR(VLOOKUP(C490, merchants!$A$2:$D$41, 3, FALSE), "Merchant not found")</f>
        <v>grocery</v>
      </c>
      <c r="K490" t="str">
        <f>IFERROR(VLOOKUP(C490, merchants!$A$2:$D$41, 4, FALSE), "Merchant not found")</f>
        <v>West</v>
      </c>
      <c r="L490" s="2">
        <f>HLOOKUP(F490, merchants!$F$1:$I$2, 2, FALSE)</f>
        <v>1.7999999999999999E-2</v>
      </c>
      <c r="M490" t="str">
        <f t="shared" si="14"/>
        <v>Regular</v>
      </c>
      <c r="N490" s="5">
        <f t="shared" si="15"/>
        <v>46027</v>
      </c>
    </row>
    <row r="491" spans="1:14" x14ac:dyDescent="0.3">
      <c r="A491" t="s">
        <v>504</v>
      </c>
      <c r="B491">
        <v>55</v>
      </c>
      <c r="C491">
        <v>6</v>
      </c>
      <c r="D491" s="1">
        <v>46035.432638888888</v>
      </c>
      <c r="E491">
        <v>1499</v>
      </c>
      <c r="F491" t="s">
        <v>24</v>
      </c>
      <c r="G491" t="s">
        <v>10</v>
      </c>
      <c r="H491">
        <v>0</v>
      </c>
      <c r="I491" t="str">
        <f>IFERROR(VLOOKUP(C491, merchants!$A$2:$D$41, 2, FALSE), "Merchant not found")</f>
        <v>Merchant_006</v>
      </c>
      <c r="J491" t="str">
        <f>IFERROR(VLOOKUP(C491, merchants!$A$2:$D$41, 3, FALSE), "Merchant not found")</f>
        <v>food_delivery</v>
      </c>
      <c r="K491" t="str">
        <f>IFERROR(VLOOKUP(C491, merchants!$A$2:$D$41, 4, FALSE), "Merchant not found")</f>
        <v>South</v>
      </c>
      <c r="L491" s="2">
        <f>HLOOKUP(F491, merchants!$F$1:$I$2, 2, FALSE)</f>
        <v>0.02</v>
      </c>
      <c r="M491" t="str">
        <f t="shared" si="14"/>
        <v>Regular</v>
      </c>
      <c r="N491" s="5">
        <f t="shared" si="15"/>
        <v>46035</v>
      </c>
    </row>
    <row r="492" spans="1:14" x14ac:dyDescent="0.3">
      <c r="A492" t="s">
        <v>505</v>
      </c>
      <c r="B492">
        <v>139</v>
      </c>
      <c r="C492">
        <v>7</v>
      </c>
      <c r="D492" s="1">
        <v>46032.599305555559</v>
      </c>
      <c r="E492">
        <v>499</v>
      </c>
      <c r="F492" t="s">
        <v>24</v>
      </c>
      <c r="G492" t="s">
        <v>10</v>
      </c>
      <c r="H492">
        <v>16</v>
      </c>
      <c r="I492" t="str">
        <f>IFERROR(VLOOKUP(C492, merchants!$A$2:$D$41, 2, FALSE), "Merchant not found")</f>
        <v>Merchant_007</v>
      </c>
      <c r="J492" t="str">
        <f>IFERROR(VLOOKUP(C492, merchants!$A$2:$D$41, 3, FALSE), "Merchant not found")</f>
        <v>food_delivery</v>
      </c>
      <c r="K492" t="str">
        <f>IFERROR(VLOOKUP(C492, merchants!$A$2:$D$41, 4, FALSE), "Merchant not found")</f>
        <v>East</v>
      </c>
      <c r="L492" s="2">
        <f>HLOOKUP(F492, merchants!$F$1:$I$2, 2, FALSE)</f>
        <v>0.02</v>
      </c>
      <c r="M492" t="str">
        <f t="shared" si="14"/>
        <v>Regular</v>
      </c>
      <c r="N492" s="5">
        <f t="shared" si="15"/>
        <v>46032</v>
      </c>
    </row>
    <row r="493" spans="1:14" x14ac:dyDescent="0.3">
      <c r="A493" t="s">
        <v>506</v>
      </c>
      <c r="B493">
        <v>230</v>
      </c>
      <c r="C493">
        <v>36</v>
      </c>
      <c r="D493" s="1">
        <v>46025.227083333331</v>
      </c>
      <c r="E493">
        <v>99</v>
      </c>
      <c r="F493" t="s">
        <v>9</v>
      </c>
      <c r="G493" t="s">
        <v>10</v>
      </c>
      <c r="H493">
        <v>71</v>
      </c>
      <c r="I493" t="str">
        <f>IFERROR(VLOOKUP(C493, merchants!$A$2:$D$41, 2, FALSE), "Merchant not found")</f>
        <v>Merchant_036</v>
      </c>
      <c r="J493" t="str">
        <f>IFERROR(VLOOKUP(C493, merchants!$A$2:$D$41, 3, FALSE), "Merchant not found")</f>
        <v>entertainment</v>
      </c>
      <c r="K493" t="str">
        <f>IFERROR(VLOOKUP(C493, merchants!$A$2:$D$41, 4, FALSE), "Merchant not found")</f>
        <v>East</v>
      </c>
      <c r="L493" s="2">
        <f>HLOOKUP(F493, merchants!$F$1:$I$2, 2, FALSE)</f>
        <v>1.4999999999999999E-2</v>
      </c>
      <c r="M493" t="str">
        <f t="shared" si="14"/>
        <v>Regular</v>
      </c>
      <c r="N493" s="5">
        <f t="shared" si="15"/>
        <v>46025</v>
      </c>
    </row>
    <row r="494" spans="1:14" x14ac:dyDescent="0.3">
      <c r="A494" t="s">
        <v>507</v>
      </c>
      <c r="B494">
        <v>14</v>
      </c>
      <c r="C494">
        <v>6</v>
      </c>
      <c r="D494" s="1">
        <v>46039.54583333333</v>
      </c>
      <c r="E494">
        <v>799</v>
      </c>
      <c r="F494" t="s">
        <v>24</v>
      </c>
      <c r="G494" t="s">
        <v>10</v>
      </c>
      <c r="H494">
        <v>45</v>
      </c>
      <c r="I494" t="str">
        <f>IFERROR(VLOOKUP(C494, merchants!$A$2:$D$41, 2, FALSE), "Merchant not found")</f>
        <v>Merchant_006</v>
      </c>
      <c r="J494" t="str">
        <f>IFERROR(VLOOKUP(C494, merchants!$A$2:$D$41, 3, FALSE), "Merchant not found")</f>
        <v>food_delivery</v>
      </c>
      <c r="K494" t="str">
        <f>IFERROR(VLOOKUP(C494, merchants!$A$2:$D$41, 4, FALSE), "Merchant not found")</f>
        <v>South</v>
      </c>
      <c r="L494" s="2">
        <f>HLOOKUP(F494, merchants!$F$1:$I$2, 2, FALSE)</f>
        <v>0.02</v>
      </c>
      <c r="M494" t="str">
        <f t="shared" si="14"/>
        <v>Regular</v>
      </c>
      <c r="N494" s="5">
        <f t="shared" si="15"/>
        <v>46039</v>
      </c>
    </row>
    <row r="495" spans="1:14" x14ac:dyDescent="0.3">
      <c r="A495" t="s">
        <v>508</v>
      </c>
      <c r="B495">
        <v>307</v>
      </c>
      <c r="C495">
        <v>21</v>
      </c>
      <c r="D495" s="1">
        <v>46040.109722222223</v>
      </c>
      <c r="E495">
        <v>799</v>
      </c>
      <c r="F495" t="s">
        <v>12</v>
      </c>
      <c r="G495" t="s">
        <v>10</v>
      </c>
      <c r="H495">
        <v>49</v>
      </c>
      <c r="I495" t="str">
        <f>IFERROR(VLOOKUP(C495, merchants!$A$2:$D$41, 2, FALSE), "Merchant not found")</f>
        <v>Merchant_021</v>
      </c>
      <c r="J495" t="str">
        <f>IFERROR(VLOOKUP(C495, merchants!$A$2:$D$41, 3, FALSE), "Merchant not found")</f>
        <v>food_delivery</v>
      </c>
      <c r="K495" t="str">
        <f>IFERROR(VLOOKUP(C495, merchants!$A$2:$D$41, 4, FALSE), "Merchant not found")</f>
        <v>East</v>
      </c>
      <c r="L495" s="2">
        <f>HLOOKUP(F495, merchants!$F$1:$I$2, 2, FALSE)</f>
        <v>0</v>
      </c>
      <c r="M495" t="str">
        <f t="shared" si="14"/>
        <v>Regular</v>
      </c>
      <c r="N495" s="5">
        <f t="shared" si="15"/>
        <v>46040</v>
      </c>
    </row>
    <row r="496" spans="1:14" x14ac:dyDescent="0.3">
      <c r="A496" t="s">
        <v>509</v>
      </c>
      <c r="B496">
        <v>199</v>
      </c>
      <c r="C496">
        <v>6</v>
      </c>
      <c r="D496" s="1">
        <v>46023.393055555556</v>
      </c>
      <c r="E496">
        <v>49</v>
      </c>
      <c r="F496" t="s">
        <v>12</v>
      </c>
      <c r="G496" t="s">
        <v>10</v>
      </c>
      <c r="H496">
        <v>92</v>
      </c>
      <c r="I496" t="str">
        <f>IFERROR(VLOOKUP(C496, merchants!$A$2:$D$41, 2, FALSE), "Merchant not found")</f>
        <v>Merchant_006</v>
      </c>
      <c r="J496" t="str">
        <f>IFERROR(VLOOKUP(C496, merchants!$A$2:$D$41, 3, FALSE), "Merchant not found")</f>
        <v>food_delivery</v>
      </c>
      <c r="K496" t="str">
        <f>IFERROR(VLOOKUP(C496, merchants!$A$2:$D$41, 4, FALSE), "Merchant not found")</f>
        <v>South</v>
      </c>
      <c r="L496" s="2">
        <f>HLOOKUP(F496, merchants!$F$1:$I$2, 2, FALSE)</f>
        <v>0</v>
      </c>
      <c r="M496" t="str">
        <f t="shared" si="14"/>
        <v>Regular</v>
      </c>
      <c r="N496" s="5">
        <f t="shared" si="15"/>
        <v>46023</v>
      </c>
    </row>
    <row r="497" spans="1:14" x14ac:dyDescent="0.3">
      <c r="A497" t="s">
        <v>510</v>
      </c>
      <c r="B497">
        <v>125</v>
      </c>
      <c r="C497">
        <v>37</v>
      </c>
      <c r="D497" s="1">
        <v>46051.747916666667</v>
      </c>
      <c r="E497">
        <v>149</v>
      </c>
      <c r="F497" t="s">
        <v>9</v>
      </c>
      <c r="G497" t="s">
        <v>10</v>
      </c>
      <c r="H497">
        <v>66</v>
      </c>
      <c r="I497" t="str">
        <f>IFERROR(VLOOKUP(C497, merchants!$A$2:$D$41, 2, FALSE), "Merchant not found")</f>
        <v>Merchant_037</v>
      </c>
      <c r="J497" t="str">
        <f>IFERROR(VLOOKUP(C497, merchants!$A$2:$D$41, 3, FALSE), "Merchant not found")</f>
        <v>entertainment</v>
      </c>
      <c r="K497" t="str">
        <f>IFERROR(VLOOKUP(C497, merchants!$A$2:$D$41, 4, FALSE), "Merchant not found")</f>
        <v>South</v>
      </c>
      <c r="L497" s="2">
        <f>HLOOKUP(F497, merchants!$F$1:$I$2, 2, FALSE)</f>
        <v>1.4999999999999999E-2</v>
      </c>
      <c r="M497" t="str">
        <f t="shared" si="14"/>
        <v>Regular</v>
      </c>
      <c r="N497" s="5">
        <f t="shared" si="15"/>
        <v>46051</v>
      </c>
    </row>
    <row r="498" spans="1:14" x14ac:dyDescent="0.3">
      <c r="A498" t="s">
        <v>511</v>
      </c>
      <c r="B498">
        <v>87</v>
      </c>
      <c r="C498">
        <v>9</v>
      </c>
      <c r="D498" s="1">
        <v>46028.89166666667</v>
      </c>
      <c r="E498">
        <v>149</v>
      </c>
      <c r="F498" t="s">
        <v>12</v>
      </c>
      <c r="G498" t="s">
        <v>10</v>
      </c>
      <c r="H498">
        <v>34</v>
      </c>
      <c r="I498" t="str">
        <f>IFERROR(VLOOKUP(C498, merchants!$A$2:$D$41, 2, FALSE), "Merchant not found")</f>
        <v>Merchant_009</v>
      </c>
      <c r="J498" t="str">
        <f>IFERROR(VLOOKUP(C498, merchants!$A$2:$D$41, 3, FALSE), "Merchant not found")</f>
        <v>ecommerce</v>
      </c>
      <c r="K498" t="str">
        <f>IFERROR(VLOOKUP(C498, merchants!$A$2:$D$41, 4, FALSE), "Merchant not found")</f>
        <v>North</v>
      </c>
      <c r="L498" s="2">
        <f>HLOOKUP(F498, merchants!$F$1:$I$2, 2, FALSE)</f>
        <v>0</v>
      </c>
      <c r="M498" t="str">
        <f t="shared" si="14"/>
        <v>Regular</v>
      </c>
      <c r="N498" s="5">
        <f t="shared" si="15"/>
        <v>46028</v>
      </c>
    </row>
    <row r="499" spans="1:14" x14ac:dyDescent="0.3">
      <c r="A499" t="s">
        <v>512</v>
      </c>
      <c r="B499">
        <v>75</v>
      </c>
      <c r="C499">
        <v>5</v>
      </c>
      <c r="D499" s="1">
        <v>46032.354861111111</v>
      </c>
      <c r="E499">
        <v>99</v>
      </c>
      <c r="F499" t="s">
        <v>12</v>
      </c>
      <c r="G499" t="s">
        <v>10</v>
      </c>
      <c r="H499">
        <v>21</v>
      </c>
      <c r="I499" t="str">
        <f>IFERROR(VLOOKUP(C499, merchants!$A$2:$D$41, 2, FALSE), "Merchant not found")</f>
        <v>Merchant_005</v>
      </c>
      <c r="J499" t="str">
        <f>IFERROR(VLOOKUP(C499, merchants!$A$2:$D$41, 3, FALSE), "Merchant not found")</f>
        <v>recharge</v>
      </c>
      <c r="K499" t="str">
        <f>IFERROR(VLOOKUP(C499, merchants!$A$2:$D$41, 4, FALSE), "Merchant not found")</f>
        <v>South</v>
      </c>
      <c r="L499" s="2">
        <f>HLOOKUP(F499, merchants!$F$1:$I$2, 2, FALSE)</f>
        <v>0</v>
      </c>
      <c r="M499" t="str">
        <f t="shared" si="14"/>
        <v>Regular</v>
      </c>
      <c r="N499" s="5">
        <f t="shared" si="15"/>
        <v>46032</v>
      </c>
    </row>
    <row r="500" spans="1:14" x14ac:dyDescent="0.3">
      <c r="A500" t="s">
        <v>513</v>
      </c>
      <c r="B500">
        <v>154</v>
      </c>
      <c r="C500">
        <v>31</v>
      </c>
      <c r="D500" s="1">
        <v>46036.351388888892</v>
      </c>
      <c r="E500">
        <v>499</v>
      </c>
      <c r="F500" t="s">
        <v>9</v>
      </c>
      <c r="G500" t="s">
        <v>10</v>
      </c>
      <c r="H500">
        <v>100</v>
      </c>
      <c r="I500" t="str">
        <f>IFERROR(VLOOKUP(C500, merchants!$A$2:$D$41, 2, FALSE), "Merchant not found")</f>
        <v>Merchant_031</v>
      </c>
      <c r="J500" t="str">
        <f>IFERROR(VLOOKUP(C500, merchants!$A$2:$D$41, 3, FALSE), "Merchant not found")</f>
        <v>bill_payment</v>
      </c>
      <c r="K500" t="str">
        <f>IFERROR(VLOOKUP(C500, merchants!$A$2:$D$41, 4, FALSE), "Merchant not found")</f>
        <v>East</v>
      </c>
      <c r="L500" s="2">
        <f>HLOOKUP(F500, merchants!$F$1:$I$2, 2, FALSE)</f>
        <v>1.4999999999999999E-2</v>
      </c>
      <c r="M500" t="str">
        <f t="shared" si="14"/>
        <v>Regular</v>
      </c>
      <c r="N500" s="5">
        <f t="shared" si="15"/>
        <v>46036</v>
      </c>
    </row>
    <row r="501" spans="1:14" x14ac:dyDescent="0.3">
      <c r="A501" t="s">
        <v>514</v>
      </c>
      <c r="B501">
        <v>127</v>
      </c>
      <c r="C501">
        <v>32</v>
      </c>
      <c r="D501" s="1">
        <v>46025.469444444447</v>
      </c>
      <c r="E501">
        <v>149</v>
      </c>
      <c r="F501" t="s">
        <v>24</v>
      </c>
      <c r="G501" t="s">
        <v>10</v>
      </c>
      <c r="H501">
        <v>76</v>
      </c>
      <c r="I501" t="str">
        <f>IFERROR(VLOOKUP(C501, merchants!$A$2:$D$41, 2, FALSE), "Merchant not found")</f>
        <v>Merchant_032</v>
      </c>
      <c r="J501" t="str">
        <f>IFERROR(VLOOKUP(C501, merchants!$A$2:$D$41, 3, FALSE), "Merchant not found")</f>
        <v>food_delivery</v>
      </c>
      <c r="K501" t="str">
        <f>IFERROR(VLOOKUP(C501, merchants!$A$2:$D$41, 4, FALSE), "Merchant not found")</f>
        <v>West</v>
      </c>
      <c r="L501" s="2">
        <f>HLOOKUP(F501, merchants!$F$1:$I$2, 2, FALSE)</f>
        <v>0.02</v>
      </c>
      <c r="M501" t="str">
        <f t="shared" si="14"/>
        <v>Regular</v>
      </c>
      <c r="N501" s="5">
        <f t="shared" si="15"/>
        <v>46025</v>
      </c>
    </row>
    <row r="502" spans="1:14" x14ac:dyDescent="0.3">
      <c r="A502" t="s">
        <v>515</v>
      </c>
      <c r="B502">
        <v>351</v>
      </c>
      <c r="C502">
        <v>7</v>
      </c>
      <c r="D502" s="1">
        <v>46052.25</v>
      </c>
      <c r="E502">
        <v>1999</v>
      </c>
      <c r="F502" t="s">
        <v>24</v>
      </c>
      <c r="G502" t="s">
        <v>38</v>
      </c>
      <c r="H502">
        <v>79</v>
      </c>
      <c r="I502" t="str">
        <f>IFERROR(VLOOKUP(C502, merchants!$A$2:$D$41, 2, FALSE), "Merchant not found")</f>
        <v>Merchant_007</v>
      </c>
      <c r="J502" t="str">
        <f>IFERROR(VLOOKUP(C502, merchants!$A$2:$D$41, 3, FALSE), "Merchant not found")</f>
        <v>food_delivery</v>
      </c>
      <c r="K502" t="str">
        <f>IFERROR(VLOOKUP(C502, merchants!$A$2:$D$41, 4, FALSE), "Merchant not found")</f>
        <v>East</v>
      </c>
      <c r="L502" s="2">
        <f>HLOOKUP(F502, merchants!$F$1:$I$2, 2, FALSE)</f>
        <v>0.02</v>
      </c>
      <c r="M502" t="str">
        <f t="shared" si="14"/>
        <v>Regular</v>
      </c>
      <c r="N502" s="5">
        <f t="shared" si="15"/>
        <v>46052</v>
      </c>
    </row>
    <row r="503" spans="1:14" x14ac:dyDescent="0.3">
      <c r="A503" t="s">
        <v>516</v>
      </c>
      <c r="B503">
        <v>352</v>
      </c>
      <c r="C503">
        <v>40</v>
      </c>
      <c r="D503" s="1">
        <v>46033.5</v>
      </c>
      <c r="E503">
        <v>4999</v>
      </c>
      <c r="F503" t="s">
        <v>24</v>
      </c>
      <c r="G503" t="s">
        <v>38</v>
      </c>
      <c r="H503">
        <v>95</v>
      </c>
      <c r="I503" t="str">
        <f>IFERROR(VLOOKUP(C503, merchants!$A$2:$D$41, 2, FALSE), "Merchant not found")</f>
        <v>Merchant_040</v>
      </c>
      <c r="J503" t="str">
        <f>IFERROR(VLOOKUP(C503, merchants!$A$2:$D$41, 3, FALSE), "Merchant not found")</f>
        <v>entertainment</v>
      </c>
      <c r="K503" t="str">
        <f>IFERROR(VLOOKUP(C503, merchants!$A$2:$D$41, 4, FALSE), "Merchant not found")</f>
        <v>South</v>
      </c>
      <c r="L503" s="2">
        <f>HLOOKUP(F503, merchants!$F$1:$I$2, 2, FALSE)</f>
        <v>0.02</v>
      </c>
      <c r="M503" t="str">
        <f t="shared" si="14"/>
        <v>Regular</v>
      </c>
      <c r="N503" s="5">
        <f t="shared" si="15"/>
        <v>46033</v>
      </c>
    </row>
    <row r="504" spans="1:14" x14ac:dyDescent="0.3">
      <c r="A504" t="s">
        <v>517</v>
      </c>
      <c r="B504">
        <v>353</v>
      </c>
      <c r="C504">
        <v>28</v>
      </c>
      <c r="D504" s="1">
        <v>46043.583333333336</v>
      </c>
      <c r="E504">
        <v>1999</v>
      </c>
      <c r="F504" t="s">
        <v>24</v>
      </c>
      <c r="G504" t="s">
        <v>38</v>
      </c>
      <c r="H504">
        <v>79</v>
      </c>
      <c r="I504" t="str">
        <f>IFERROR(VLOOKUP(C504, merchants!$A$2:$D$41, 2, FALSE), "Merchant not found")</f>
        <v>Merchant_028</v>
      </c>
      <c r="J504" t="str">
        <f>IFERROR(VLOOKUP(C504, merchants!$A$2:$D$41, 3, FALSE), "Merchant not found")</f>
        <v>ecommerce</v>
      </c>
      <c r="K504" t="str">
        <f>IFERROR(VLOOKUP(C504, merchants!$A$2:$D$41, 4, FALSE), "Merchant not found")</f>
        <v>South</v>
      </c>
      <c r="L504" s="2">
        <f>HLOOKUP(F504, merchants!$F$1:$I$2, 2, FALSE)</f>
        <v>0.02</v>
      </c>
      <c r="M504" t="str">
        <f t="shared" si="14"/>
        <v>Regular</v>
      </c>
      <c r="N504" s="5">
        <f t="shared" si="15"/>
        <v>46043</v>
      </c>
    </row>
    <row r="505" spans="1:14" x14ac:dyDescent="0.3">
      <c r="A505" t="s">
        <v>518</v>
      </c>
      <c r="B505">
        <v>354</v>
      </c>
      <c r="C505">
        <v>13</v>
      </c>
      <c r="D505" s="1">
        <v>46043.791666666664</v>
      </c>
      <c r="E505">
        <v>4999</v>
      </c>
      <c r="F505" t="s">
        <v>24</v>
      </c>
      <c r="G505" t="s">
        <v>38</v>
      </c>
      <c r="H505">
        <v>80</v>
      </c>
      <c r="I505" t="str">
        <f>IFERROR(VLOOKUP(C505, merchants!$A$2:$D$41, 2, FALSE), "Merchant not found")</f>
        <v>Merchant_013</v>
      </c>
      <c r="J505" t="str">
        <f>IFERROR(VLOOKUP(C505, merchants!$A$2:$D$41, 3, FALSE), "Merchant not found")</f>
        <v>travel</v>
      </c>
      <c r="K505" t="str">
        <f>IFERROR(VLOOKUP(C505, merchants!$A$2:$D$41, 4, FALSE), "Merchant not found")</f>
        <v>East</v>
      </c>
      <c r="L505" s="2">
        <f>HLOOKUP(F505, merchants!$F$1:$I$2, 2, FALSE)</f>
        <v>0.02</v>
      </c>
      <c r="M505" t="str">
        <f t="shared" si="14"/>
        <v>Regular</v>
      </c>
      <c r="N505" s="5">
        <f t="shared" si="15"/>
        <v>46043</v>
      </c>
    </row>
    <row r="506" spans="1:14" x14ac:dyDescent="0.3">
      <c r="A506" t="s">
        <v>519</v>
      </c>
      <c r="B506">
        <v>355</v>
      </c>
      <c r="C506">
        <v>19</v>
      </c>
      <c r="D506" s="1">
        <v>46038.5</v>
      </c>
      <c r="E506">
        <v>4999</v>
      </c>
      <c r="F506" t="s">
        <v>24</v>
      </c>
      <c r="G506" t="s">
        <v>38</v>
      </c>
      <c r="H506">
        <v>100</v>
      </c>
      <c r="I506" t="str">
        <f>IFERROR(VLOOKUP(C506, merchants!$A$2:$D$41, 2, FALSE), "Merchant not found")</f>
        <v>Merchant_019</v>
      </c>
      <c r="J506" t="str">
        <f>IFERROR(VLOOKUP(C506, merchants!$A$2:$D$41, 3, FALSE), "Merchant not found")</f>
        <v>grocery</v>
      </c>
      <c r="K506" t="str">
        <f>IFERROR(VLOOKUP(C506, merchants!$A$2:$D$41, 4, FALSE), "Merchant not found")</f>
        <v>North</v>
      </c>
      <c r="L506" s="2">
        <f>HLOOKUP(F506, merchants!$F$1:$I$2, 2, FALSE)</f>
        <v>0.02</v>
      </c>
      <c r="M506" t="str">
        <f t="shared" si="14"/>
        <v>Regular</v>
      </c>
      <c r="N506" s="5">
        <f t="shared" si="15"/>
        <v>46038</v>
      </c>
    </row>
    <row r="507" spans="1:14" x14ac:dyDescent="0.3">
      <c r="A507" t="s">
        <v>520</v>
      </c>
      <c r="B507">
        <v>356</v>
      </c>
      <c r="C507">
        <v>25</v>
      </c>
      <c r="D507" s="1">
        <v>46051.291666666664</v>
      </c>
      <c r="E507">
        <v>2999</v>
      </c>
      <c r="F507" t="s">
        <v>24</v>
      </c>
      <c r="G507" t="s">
        <v>38</v>
      </c>
      <c r="H507">
        <v>96</v>
      </c>
      <c r="I507" t="str">
        <f>IFERROR(VLOOKUP(C507, merchants!$A$2:$D$41, 2, FALSE), "Merchant not found")</f>
        <v>Merchant_025</v>
      </c>
      <c r="J507" t="str">
        <f>IFERROR(VLOOKUP(C507, merchants!$A$2:$D$41, 3, FALSE), "Merchant not found")</f>
        <v>travel</v>
      </c>
      <c r="K507" t="str">
        <f>IFERROR(VLOOKUP(C507, merchants!$A$2:$D$41, 4, FALSE), "Merchant not found")</f>
        <v>South</v>
      </c>
      <c r="L507" s="2">
        <f>HLOOKUP(F507, merchants!$F$1:$I$2, 2, FALSE)</f>
        <v>0.02</v>
      </c>
      <c r="M507" t="str">
        <f t="shared" si="14"/>
        <v>Regular</v>
      </c>
      <c r="N507" s="5">
        <f t="shared" si="15"/>
        <v>46051</v>
      </c>
    </row>
    <row r="508" spans="1:14" x14ac:dyDescent="0.3">
      <c r="A508" t="s">
        <v>521</v>
      </c>
      <c r="B508">
        <v>357</v>
      </c>
      <c r="C508">
        <v>37</v>
      </c>
      <c r="D508" s="1">
        <v>46045.458333333336</v>
      </c>
      <c r="E508">
        <v>1999</v>
      </c>
      <c r="F508" t="s">
        <v>24</v>
      </c>
      <c r="G508" t="s">
        <v>38</v>
      </c>
      <c r="H508">
        <v>88</v>
      </c>
      <c r="I508" t="str">
        <f>IFERROR(VLOOKUP(C508, merchants!$A$2:$D$41, 2, FALSE), "Merchant not found")</f>
        <v>Merchant_037</v>
      </c>
      <c r="J508" t="str">
        <f>IFERROR(VLOOKUP(C508, merchants!$A$2:$D$41, 3, FALSE), "Merchant not found")</f>
        <v>entertainment</v>
      </c>
      <c r="K508" t="str">
        <f>IFERROR(VLOOKUP(C508, merchants!$A$2:$D$41, 4, FALSE), "Merchant not found")</f>
        <v>South</v>
      </c>
      <c r="L508" s="2">
        <f>HLOOKUP(F508, merchants!$F$1:$I$2, 2, FALSE)</f>
        <v>0.02</v>
      </c>
      <c r="M508" t="str">
        <f t="shared" si="14"/>
        <v>Regular</v>
      </c>
      <c r="N508" s="5">
        <f t="shared" si="15"/>
        <v>46045</v>
      </c>
    </row>
    <row r="509" spans="1:14" x14ac:dyDescent="0.3">
      <c r="A509" t="s">
        <v>522</v>
      </c>
      <c r="B509">
        <v>358</v>
      </c>
      <c r="C509">
        <v>36</v>
      </c>
      <c r="D509" s="1">
        <v>46050.208333333336</v>
      </c>
      <c r="E509">
        <v>999</v>
      </c>
      <c r="F509" t="s">
        <v>24</v>
      </c>
      <c r="G509" t="s">
        <v>38</v>
      </c>
      <c r="H509">
        <v>100</v>
      </c>
      <c r="I509" t="str">
        <f>IFERROR(VLOOKUP(C509, merchants!$A$2:$D$41, 2, FALSE), "Merchant not found")</f>
        <v>Merchant_036</v>
      </c>
      <c r="J509" t="str">
        <f>IFERROR(VLOOKUP(C509, merchants!$A$2:$D$41, 3, FALSE), "Merchant not found")</f>
        <v>entertainment</v>
      </c>
      <c r="K509" t="str">
        <f>IFERROR(VLOOKUP(C509, merchants!$A$2:$D$41, 4, FALSE), "Merchant not found")</f>
        <v>East</v>
      </c>
      <c r="L509" s="2">
        <f>HLOOKUP(F509, merchants!$F$1:$I$2, 2, FALSE)</f>
        <v>0.02</v>
      </c>
      <c r="M509" t="str">
        <f t="shared" si="14"/>
        <v>Regular</v>
      </c>
      <c r="N509" s="5">
        <f t="shared" si="15"/>
        <v>46050</v>
      </c>
    </row>
    <row r="510" spans="1:14" x14ac:dyDescent="0.3">
      <c r="A510" t="s">
        <v>523</v>
      </c>
      <c r="B510">
        <v>359</v>
      </c>
      <c r="C510">
        <v>29</v>
      </c>
      <c r="D510" s="1">
        <v>46047.916666666664</v>
      </c>
      <c r="E510">
        <v>2999</v>
      </c>
      <c r="F510" t="s">
        <v>24</v>
      </c>
      <c r="G510" t="s">
        <v>38</v>
      </c>
      <c r="H510">
        <v>96</v>
      </c>
      <c r="I510" t="str">
        <f>IFERROR(VLOOKUP(C510, merchants!$A$2:$D$41, 2, FALSE), "Merchant not found")</f>
        <v>Merchant_029</v>
      </c>
      <c r="J510" t="str">
        <f>IFERROR(VLOOKUP(C510, merchants!$A$2:$D$41, 3, FALSE), "Merchant not found")</f>
        <v>ecommerce</v>
      </c>
      <c r="K510" t="str">
        <f>IFERROR(VLOOKUP(C510, merchants!$A$2:$D$41, 4, FALSE), "Merchant not found")</f>
        <v>North</v>
      </c>
      <c r="L510" s="2">
        <f>HLOOKUP(F510, merchants!$F$1:$I$2, 2, FALSE)</f>
        <v>0.02</v>
      </c>
      <c r="M510" t="str">
        <f t="shared" si="14"/>
        <v>Regular</v>
      </c>
      <c r="N510" s="5">
        <f t="shared" si="15"/>
        <v>46047</v>
      </c>
    </row>
    <row r="511" spans="1:14" x14ac:dyDescent="0.3">
      <c r="A511" t="s">
        <v>524</v>
      </c>
      <c r="B511">
        <v>360</v>
      </c>
      <c r="C511">
        <v>32</v>
      </c>
      <c r="D511" s="1">
        <v>46035.541666666664</v>
      </c>
      <c r="E511">
        <v>1999</v>
      </c>
      <c r="F511" t="s">
        <v>24</v>
      </c>
      <c r="G511" t="s">
        <v>38</v>
      </c>
      <c r="H511">
        <v>90</v>
      </c>
      <c r="I511" t="str">
        <f>IFERROR(VLOOKUP(C511, merchants!$A$2:$D$41, 2, FALSE), "Merchant not found")</f>
        <v>Merchant_032</v>
      </c>
      <c r="J511" t="str">
        <f>IFERROR(VLOOKUP(C511, merchants!$A$2:$D$41, 3, FALSE), "Merchant not found")</f>
        <v>food_delivery</v>
      </c>
      <c r="K511" t="str">
        <f>IFERROR(VLOOKUP(C511, merchants!$A$2:$D$41, 4, FALSE), "Merchant not found")</f>
        <v>West</v>
      </c>
      <c r="L511" s="2">
        <f>HLOOKUP(F511, merchants!$F$1:$I$2, 2, FALSE)</f>
        <v>0.02</v>
      </c>
      <c r="M511" t="str">
        <f t="shared" si="14"/>
        <v>Regular</v>
      </c>
      <c r="N511" s="5">
        <f t="shared" si="15"/>
        <v>46035</v>
      </c>
    </row>
    <row r="512" spans="1:14" x14ac:dyDescent="0.3">
      <c r="A512" t="s">
        <v>525</v>
      </c>
      <c r="B512">
        <v>361</v>
      </c>
      <c r="C512">
        <v>10</v>
      </c>
      <c r="D512" s="1">
        <v>46042.291666666664</v>
      </c>
      <c r="E512">
        <v>4999</v>
      </c>
      <c r="F512" t="s">
        <v>24</v>
      </c>
      <c r="G512" t="s">
        <v>38</v>
      </c>
      <c r="H512">
        <v>95</v>
      </c>
      <c r="I512" t="str">
        <f>IFERROR(VLOOKUP(C512, merchants!$A$2:$D$41, 2, FALSE), "Merchant not found")</f>
        <v>Merchant_010</v>
      </c>
      <c r="J512" t="str">
        <f>IFERROR(VLOOKUP(C512, merchants!$A$2:$D$41, 3, FALSE), "Merchant not found")</f>
        <v>grocery</v>
      </c>
      <c r="K512" t="str">
        <f>IFERROR(VLOOKUP(C512, merchants!$A$2:$D$41, 4, FALSE), "Merchant not found")</f>
        <v>West</v>
      </c>
      <c r="L512" s="2">
        <f>HLOOKUP(F512, merchants!$F$1:$I$2, 2, FALSE)</f>
        <v>0.02</v>
      </c>
      <c r="M512" t="str">
        <f t="shared" si="14"/>
        <v>Regular</v>
      </c>
      <c r="N512" s="5">
        <f t="shared" si="15"/>
        <v>46042</v>
      </c>
    </row>
    <row r="513" spans="1:14" x14ac:dyDescent="0.3">
      <c r="A513" t="s">
        <v>526</v>
      </c>
      <c r="B513">
        <v>362</v>
      </c>
      <c r="C513">
        <v>39</v>
      </c>
      <c r="D513" s="1">
        <v>46045.083333333336</v>
      </c>
      <c r="E513">
        <v>4999</v>
      </c>
      <c r="F513" t="s">
        <v>24</v>
      </c>
      <c r="G513" t="s">
        <v>38</v>
      </c>
      <c r="H513">
        <v>88</v>
      </c>
      <c r="I513" t="str">
        <f>IFERROR(VLOOKUP(C513, merchants!$A$2:$D$41, 2, FALSE), "Merchant not found")</f>
        <v>Merchant_039</v>
      </c>
      <c r="J513" t="str">
        <f>IFERROR(VLOOKUP(C513, merchants!$A$2:$D$41, 3, FALSE), "Merchant not found")</f>
        <v>entertainment</v>
      </c>
      <c r="K513" t="str">
        <f>IFERROR(VLOOKUP(C513, merchants!$A$2:$D$41, 4, FALSE), "Merchant not found")</f>
        <v>North</v>
      </c>
      <c r="L513" s="2">
        <f>HLOOKUP(F513, merchants!$F$1:$I$2, 2, FALSE)</f>
        <v>0.02</v>
      </c>
      <c r="M513" t="str">
        <f t="shared" si="14"/>
        <v>Regular</v>
      </c>
      <c r="N513" s="5">
        <f t="shared" si="15"/>
        <v>46045</v>
      </c>
    </row>
    <row r="514" spans="1:14" x14ac:dyDescent="0.3">
      <c r="A514" t="s">
        <v>527</v>
      </c>
      <c r="B514">
        <v>363</v>
      </c>
      <c r="C514">
        <v>27</v>
      </c>
      <c r="D514" s="1">
        <v>46045.708333333336</v>
      </c>
      <c r="E514">
        <v>999</v>
      </c>
      <c r="F514" t="s">
        <v>24</v>
      </c>
      <c r="G514" t="s">
        <v>38</v>
      </c>
      <c r="H514">
        <v>95</v>
      </c>
      <c r="I514" t="str">
        <f>IFERROR(VLOOKUP(C514, merchants!$A$2:$D$41, 2, FALSE), "Merchant not found")</f>
        <v>Merchant_027</v>
      </c>
      <c r="J514" t="str">
        <f>IFERROR(VLOOKUP(C514, merchants!$A$2:$D$41, 3, FALSE), "Merchant not found")</f>
        <v>ecommerce</v>
      </c>
      <c r="K514" t="str">
        <f>IFERROR(VLOOKUP(C514, merchants!$A$2:$D$41, 4, FALSE), "Merchant not found")</f>
        <v>North</v>
      </c>
      <c r="L514" s="2">
        <f>HLOOKUP(F514, merchants!$F$1:$I$2, 2, FALSE)</f>
        <v>0.02</v>
      </c>
      <c r="M514" t="str">
        <f t="shared" si="14"/>
        <v>Regular</v>
      </c>
      <c r="N514" s="5">
        <f t="shared" si="15"/>
        <v>46045</v>
      </c>
    </row>
    <row r="515" spans="1:14" x14ac:dyDescent="0.3">
      <c r="A515" t="s">
        <v>528</v>
      </c>
      <c r="B515">
        <v>364</v>
      </c>
      <c r="C515">
        <v>39</v>
      </c>
      <c r="D515" s="1">
        <v>46044.916666666664</v>
      </c>
      <c r="E515">
        <v>999</v>
      </c>
      <c r="F515" t="s">
        <v>24</v>
      </c>
      <c r="G515" t="s">
        <v>38</v>
      </c>
      <c r="H515">
        <v>73</v>
      </c>
      <c r="I515" t="str">
        <f>IFERROR(VLOOKUP(C515, merchants!$A$2:$D$41, 2, FALSE), "Merchant not found")</f>
        <v>Merchant_039</v>
      </c>
      <c r="J515" t="str">
        <f>IFERROR(VLOOKUP(C515, merchants!$A$2:$D$41, 3, FALSE), "Merchant not found")</f>
        <v>entertainment</v>
      </c>
      <c r="K515" t="str">
        <f>IFERROR(VLOOKUP(C515, merchants!$A$2:$D$41, 4, FALSE), "Merchant not found")</f>
        <v>North</v>
      </c>
      <c r="L515" s="2">
        <f>HLOOKUP(F515, merchants!$F$1:$I$2, 2, FALSE)</f>
        <v>0.02</v>
      </c>
      <c r="M515" t="str">
        <f t="shared" ref="M515:M548" si="16">IF(AND(SUMIFS($E:$E, $C:$C, C515, $D:$D, "&gt;="&amp;INT(D515), $D:$D, "&lt;"&amp;INT(D515)+1) &gt; 5000, K515 &lt;&gt; "East"), "High-Value Day", "Regular")</f>
        <v>High-Value Day</v>
      </c>
      <c r="N515" s="5">
        <f t="shared" ref="N515:N548" si="17">INT(D515)</f>
        <v>46044</v>
      </c>
    </row>
    <row r="516" spans="1:14" x14ac:dyDescent="0.3">
      <c r="A516" t="s">
        <v>529</v>
      </c>
      <c r="B516">
        <v>365</v>
      </c>
      <c r="C516">
        <v>23</v>
      </c>
      <c r="D516" s="1">
        <v>46040.875</v>
      </c>
      <c r="E516">
        <v>1999</v>
      </c>
      <c r="F516" t="s">
        <v>24</v>
      </c>
      <c r="G516" t="s">
        <v>38</v>
      </c>
      <c r="H516">
        <v>90</v>
      </c>
      <c r="I516" t="str">
        <f>IFERROR(VLOOKUP(C516, merchants!$A$2:$D$41, 2, FALSE), "Merchant not found")</f>
        <v>Merchant_023</v>
      </c>
      <c r="J516" t="str">
        <f>IFERROR(VLOOKUP(C516, merchants!$A$2:$D$41, 3, FALSE), "Merchant not found")</f>
        <v>travel</v>
      </c>
      <c r="K516" t="str">
        <f>IFERROR(VLOOKUP(C516, merchants!$A$2:$D$41, 4, FALSE), "Merchant not found")</f>
        <v>North</v>
      </c>
      <c r="L516" s="2">
        <f>HLOOKUP(F516, merchants!$F$1:$I$2, 2, FALSE)</f>
        <v>0.02</v>
      </c>
      <c r="M516" t="str">
        <f t="shared" si="16"/>
        <v>Regular</v>
      </c>
      <c r="N516" s="5">
        <f t="shared" si="17"/>
        <v>46040</v>
      </c>
    </row>
    <row r="517" spans="1:14" x14ac:dyDescent="0.3">
      <c r="A517" t="s">
        <v>530</v>
      </c>
      <c r="B517">
        <v>314</v>
      </c>
      <c r="C517">
        <v>26</v>
      </c>
      <c r="D517" s="1">
        <v>46024.75</v>
      </c>
      <c r="E517">
        <v>399</v>
      </c>
      <c r="F517" t="s">
        <v>24</v>
      </c>
      <c r="G517" t="s">
        <v>25</v>
      </c>
      <c r="H517">
        <v>87</v>
      </c>
      <c r="I517" t="str">
        <f>IFERROR(VLOOKUP(C517, merchants!$A$2:$D$41, 2, FALSE), "Merchant not found")</f>
        <v>Merchant_026</v>
      </c>
      <c r="J517" t="str">
        <f>IFERROR(VLOOKUP(C517, merchants!$A$2:$D$41, 3, FALSE), "Merchant not found")</f>
        <v>food_delivery</v>
      </c>
      <c r="K517" t="str">
        <f>IFERROR(VLOOKUP(C517, merchants!$A$2:$D$41, 4, FALSE), "Merchant not found")</f>
        <v>East</v>
      </c>
      <c r="L517" s="2">
        <f>HLOOKUP(F517, merchants!$F$1:$I$2, 2, FALSE)</f>
        <v>0.02</v>
      </c>
      <c r="M517" t="str">
        <f t="shared" si="16"/>
        <v>Regular</v>
      </c>
      <c r="N517" s="5">
        <f t="shared" si="17"/>
        <v>46024</v>
      </c>
    </row>
    <row r="518" spans="1:14" x14ac:dyDescent="0.3">
      <c r="A518" t="s">
        <v>531</v>
      </c>
      <c r="B518">
        <v>314</v>
      </c>
      <c r="C518">
        <v>7</v>
      </c>
      <c r="D518" s="1">
        <v>46024.750694444447</v>
      </c>
      <c r="E518">
        <v>299</v>
      </c>
      <c r="F518" t="s">
        <v>24</v>
      </c>
      <c r="G518" t="s">
        <v>25</v>
      </c>
      <c r="H518">
        <v>66</v>
      </c>
      <c r="I518" t="str">
        <f>IFERROR(VLOOKUP(C518, merchants!$A$2:$D$41, 2, FALSE), "Merchant not found")</f>
        <v>Merchant_007</v>
      </c>
      <c r="J518" t="str">
        <f>IFERROR(VLOOKUP(C518, merchants!$A$2:$D$41, 3, FALSE), "Merchant not found")</f>
        <v>food_delivery</v>
      </c>
      <c r="K518" t="str">
        <f>IFERROR(VLOOKUP(C518, merchants!$A$2:$D$41, 4, FALSE), "Merchant not found")</f>
        <v>East</v>
      </c>
      <c r="L518" s="2">
        <f>HLOOKUP(F518, merchants!$F$1:$I$2, 2, FALSE)</f>
        <v>0.02</v>
      </c>
      <c r="M518" t="str">
        <f t="shared" si="16"/>
        <v>Regular</v>
      </c>
      <c r="N518" s="5">
        <f t="shared" si="17"/>
        <v>46024</v>
      </c>
    </row>
    <row r="519" spans="1:14" x14ac:dyDescent="0.3">
      <c r="A519" t="s">
        <v>532</v>
      </c>
      <c r="B519">
        <v>314</v>
      </c>
      <c r="C519">
        <v>17</v>
      </c>
      <c r="D519" s="1">
        <v>46024.751388888886</v>
      </c>
      <c r="E519">
        <v>299</v>
      </c>
      <c r="F519" t="s">
        <v>24</v>
      </c>
      <c r="G519" t="s">
        <v>25</v>
      </c>
      <c r="H519">
        <v>92</v>
      </c>
      <c r="I519" t="str">
        <f>IFERROR(VLOOKUP(C519, merchants!$A$2:$D$41, 2, FALSE), "Merchant not found")</f>
        <v>Merchant_017</v>
      </c>
      <c r="J519" t="str">
        <f>IFERROR(VLOOKUP(C519, merchants!$A$2:$D$41, 3, FALSE), "Merchant not found")</f>
        <v>grocery</v>
      </c>
      <c r="K519" t="str">
        <f>IFERROR(VLOOKUP(C519, merchants!$A$2:$D$41, 4, FALSE), "Merchant not found")</f>
        <v>North</v>
      </c>
      <c r="L519" s="2">
        <f>HLOOKUP(F519, merchants!$F$1:$I$2, 2, FALSE)</f>
        <v>0.02</v>
      </c>
      <c r="M519" t="str">
        <f t="shared" si="16"/>
        <v>Regular</v>
      </c>
      <c r="N519" s="5">
        <f t="shared" si="17"/>
        <v>46024</v>
      </c>
    </row>
    <row r="520" spans="1:14" x14ac:dyDescent="0.3">
      <c r="A520" t="s">
        <v>533</v>
      </c>
      <c r="B520">
        <v>314</v>
      </c>
      <c r="C520">
        <v>34</v>
      </c>
      <c r="D520" s="1">
        <v>46024.752083333333</v>
      </c>
      <c r="E520">
        <v>499</v>
      </c>
      <c r="F520" t="s">
        <v>24</v>
      </c>
      <c r="G520" t="s">
        <v>10</v>
      </c>
      <c r="H520">
        <v>74</v>
      </c>
      <c r="I520" t="str">
        <f>IFERROR(VLOOKUP(C520, merchants!$A$2:$D$41, 2, FALSE), "Merchant not found")</f>
        <v>Merchant_034</v>
      </c>
      <c r="J520" t="str">
        <f>IFERROR(VLOOKUP(C520, merchants!$A$2:$D$41, 3, FALSE), "Merchant not found")</f>
        <v>travel</v>
      </c>
      <c r="K520" t="str">
        <f>IFERROR(VLOOKUP(C520, merchants!$A$2:$D$41, 4, FALSE), "Merchant not found")</f>
        <v>South</v>
      </c>
      <c r="L520" s="2">
        <f>HLOOKUP(F520, merchants!$F$1:$I$2, 2, FALSE)</f>
        <v>0.02</v>
      </c>
      <c r="M520" t="str">
        <f t="shared" si="16"/>
        <v>Regular</v>
      </c>
      <c r="N520" s="5">
        <f t="shared" si="17"/>
        <v>46024</v>
      </c>
    </row>
    <row r="521" spans="1:14" x14ac:dyDescent="0.3">
      <c r="A521" t="s">
        <v>534</v>
      </c>
      <c r="B521">
        <v>229</v>
      </c>
      <c r="C521">
        <v>30</v>
      </c>
      <c r="D521" s="1">
        <v>46034.5</v>
      </c>
      <c r="E521">
        <v>499</v>
      </c>
      <c r="F521" t="s">
        <v>24</v>
      </c>
      <c r="G521" t="s">
        <v>25</v>
      </c>
      <c r="H521">
        <v>92</v>
      </c>
      <c r="I521" t="str">
        <f>IFERROR(VLOOKUP(C521, merchants!$A$2:$D$41, 2, FALSE), "Merchant not found")</f>
        <v>Merchant_030</v>
      </c>
      <c r="J521" t="str">
        <f>IFERROR(VLOOKUP(C521, merchants!$A$2:$D$41, 3, FALSE), "Merchant not found")</f>
        <v>travel</v>
      </c>
      <c r="K521" t="str">
        <f>IFERROR(VLOOKUP(C521, merchants!$A$2:$D$41, 4, FALSE), "Merchant not found")</f>
        <v>West</v>
      </c>
      <c r="L521" s="2">
        <f>HLOOKUP(F521, merchants!$F$1:$I$2, 2, FALSE)</f>
        <v>0.02</v>
      </c>
      <c r="M521" t="str">
        <f t="shared" si="16"/>
        <v>Regular</v>
      </c>
      <c r="N521" s="5">
        <f t="shared" si="17"/>
        <v>46034</v>
      </c>
    </row>
    <row r="522" spans="1:14" x14ac:dyDescent="0.3">
      <c r="A522" t="s">
        <v>535</v>
      </c>
      <c r="B522">
        <v>229</v>
      </c>
      <c r="C522">
        <v>10</v>
      </c>
      <c r="D522" s="1">
        <v>46034.500694444447</v>
      </c>
      <c r="E522">
        <v>399</v>
      </c>
      <c r="F522" t="s">
        <v>24</v>
      </c>
      <c r="G522" t="s">
        <v>25</v>
      </c>
      <c r="H522">
        <v>61</v>
      </c>
      <c r="I522" t="str">
        <f>IFERROR(VLOOKUP(C522, merchants!$A$2:$D$41, 2, FALSE), "Merchant not found")</f>
        <v>Merchant_010</v>
      </c>
      <c r="J522" t="str">
        <f>IFERROR(VLOOKUP(C522, merchants!$A$2:$D$41, 3, FALSE), "Merchant not found")</f>
        <v>grocery</v>
      </c>
      <c r="K522" t="str">
        <f>IFERROR(VLOOKUP(C522, merchants!$A$2:$D$41, 4, FALSE), "Merchant not found")</f>
        <v>West</v>
      </c>
      <c r="L522" s="2">
        <f>HLOOKUP(F522, merchants!$F$1:$I$2, 2, FALSE)</f>
        <v>0.02</v>
      </c>
      <c r="M522" t="str">
        <f t="shared" si="16"/>
        <v>Regular</v>
      </c>
      <c r="N522" s="5">
        <f t="shared" si="17"/>
        <v>46034</v>
      </c>
    </row>
    <row r="523" spans="1:14" x14ac:dyDescent="0.3">
      <c r="A523" t="s">
        <v>536</v>
      </c>
      <c r="B523">
        <v>229</v>
      </c>
      <c r="C523">
        <v>31</v>
      </c>
      <c r="D523" s="1">
        <v>46034.501388888886</v>
      </c>
      <c r="E523">
        <v>299</v>
      </c>
      <c r="F523" t="s">
        <v>24</v>
      </c>
      <c r="G523" t="s">
        <v>25</v>
      </c>
      <c r="H523">
        <v>78</v>
      </c>
      <c r="I523" t="str">
        <f>IFERROR(VLOOKUP(C523, merchants!$A$2:$D$41, 2, FALSE), "Merchant not found")</f>
        <v>Merchant_031</v>
      </c>
      <c r="J523" t="str">
        <f>IFERROR(VLOOKUP(C523, merchants!$A$2:$D$41, 3, FALSE), "Merchant not found")</f>
        <v>bill_payment</v>
      </c>
      <c r="K523" t="str">
        <f>IFERROR(VLOOKUP(C523, merchants!$A$2:$D$41, 4, FALSE), "Merchant not found")</f>
        <v>East</v>
      </c>
      <c r="L523" s="2">
        <f>HLOOKUP(F523, merchants!$F$1:$I$2, 2, FALSE)</f>
        <v>0.02</v>
      </c>
      <c r="M523" t="str">
        <f t="shared" si="16"/>
        <v>Regular</v>
      </c>
      <c r="N523" s="5">
        <f t="shared" si="17"/>
        <v>46034</v>
      </c>
    </row>
    <row r="524" spans="1:14" x14ac:dyDescent="0.3">
      <c r="A524" t="s">
        <v>537</v>
      </c>
      <c r="B524">
        <v>229</v>
      </c>
      <c r="C524">
        <v>27</v>
      </c>
      <c r="D524" s="1">
        <v>46034.502083333333</v>
      </c>
      <c r="E524">
        <v>299</v>
      </c>
      <c r="F524" t="s">
        <v>24</v>
      </c>
      <c r="G524" t="s">
        <v>10</v>
      </c>
      <c r="H524">
        <v>67</v>
      </c>
      <c r="I524" t="str">
        <f>IFERROR(VLOOKUP(C524, merchants!$A$2:$D$41, 2, FALSE), "Merchant not found")</f>
        <v>Merchant_027</v>
      </c>
      <c r="J524" t="str">
        <f>IFERROR(VLOOKUP(C524, merchants!$A$2:$D$41, 3, FALSE), "Merchant not found")</f>
        <v>ecommerce</v>
      </c>
      <c r="K524" t="str">
        <f>IFERROR(VLOOKUP(C524, merchants!$A$2:$D$41, 4, FALSE), "Merchant not found")</f>
        <v>North</v>
      </c>
      <c r="L524" s="2">
        <f>HLOOKUP(F524, merchants!$F$1:$I$2, 2, FALSE)</f>
        <v>0.02</v>
      </c>
      <c r="M524" t="str">
        <f t="shared" si="16"/>
        <v>Regular</v>
      </c>
      <c r="N524" s="5">
        <f t="shared" si="17"/>
        <v>46034</v>
      </c>
    </row>
    <row r="525" spans="1:14" x14ac:dyDescent="0.3">
      <c r="A525" t="s">
        <v>538</v>
      </c>
      <c r="B525">
        <v>73</v>
      </c>
      <c r="C525">
        <v>22</v>
      </c>
      <c r="D525" s="1">
        <v>46034.375</v>
      </c>
      <c r="E525">
        <v>399</v>
      </c>
      <c r="F525" t="s">
        <v>24</v>
      </c>
      <c r="G525" t="s">
        <v>25</v>
      </c>
      <c r="H525">
        <v>73</v>
      </c>
      <c r="I525" t="str">
        <f>IFERROR(VLOOKUP(C525, merchants!$A$2:$D$41, 2, FALSE), "Merchant not found")</f>
        <v>Merchant_022</v>
      </c>
      <c r="J525" t="str">
        <f>IFERROR(VLOOKUP(C525, merchants!$A$2:$D$41, 3, FALSE), "Merchant not found")</f>
        <v>travel</v>
      </c>
      <c r="K525" t="str">
        <f>IFERROR(VLOOKUP(C525, merchants!$A$2:$D$41, 4, FALSE), "Merchant not found")</f>
        <v>South</v>
      </c>
      <c r="L525" s="2">
        <f>HLOOKUP(F525, merchants!$F$1:$I$2, 2, FALSE)</f>
        <v>0.02</v>
      </c>
      <c r="M525" t="str">
        <f t="shared" si="16"/>
        <v>Regular</v>
      </c>
      <c r="N525" s="5">
        <f t="shared" si="17"/>
        <v>46034</v>
      </c>
    </row>
    <row r="526" spans="1:14" x14ac:dyDescent="0.3">
      <c r="A526" t="s">
        <v>539</v>
      </c>
      <c r="B526">
        <v>73</v>
      </c>
      <c r="C526">
        <v>34</v>
      </c>
      <c r="D526" s="1">
        <v>46034.375694444447</v>
      </c>
      <c r="E526">
        <v>399</v>
      </c>
      <c r="F526" t="s">
        <v>24</v>
      </c>
      <c r="G526" t="s">
        <v>25</v>
      </c>
      <c r="H526">
        <v>82</v>
      </c>
      <c r="I526" t="str">
        <f>IFERROR(VLOOKUP(C526, merchants!$A$2:$D$41, 2, FALSE), "Merchant not found")</f>
        <v>Merchant_034</v>
      </c>
      <c r="J526" t="str">
        <f>IFERROR(VLOOKUP(C526, merchants!$A$2:$D$41, 3, FALSE), "Merchant not found")</f>
        <v>travel</v>
      </c>
      <c r="K526" t="str">
        <f>IFERROR(VLOOKUP(C526, merchants!$A$2:$D$41, 4, FALSE), "Merchant not found")</f>
        <v>South</v>
      </c>
      <c r="L526" s="2">
        <f>HLOOKUP(F526, merchants!$F$1:$I$2, 2, FALSE)</f>
        <v>0.02</v>
      </c>
      <c r="M526" t="str">
        <f t="shared" si="16"/>
        <v>Regular</v>
      </c>
      <c r="N526" s="5">
        <f t="shared" si="17"/>
        <v>46034</v>
      </c>
    </row>
    <row r="527" spans="1:14" x14ac:dyDescent="0.3">
      <c r="A527" t="s">
        <v>540</v>
      </c>
      <c r="B527">
        <v>73</v>
      </c>
      <c r="C527">
        <v>31</v>
      </c>
      <c r="D527" s="1">
        <v>46034.376388888886</v>
      </c>
      <c r="E527">
        <v>299</v>
      </c>
      <c r="F527" t="s">
        <v>24</v>
      </c>
      <c r="G527" t="s">
        <v>25</v>
      </c>
      <c r="H527">
        <v>88</v>
      </c>
      <c r="I527" t="str">
        <f>IFERROR(VLOOKUP(C527, merchants!$A$2:$D$41, 2, FALSE), "Merchant not found")</f>
        <v>Merchant_031</v>
      </c>
      <c r="J527" t="str">
        <f>IFERROR(VLOOKUP(C527, merchants!$A$2:$D$41, 3, FALSE), "Merchant not found")</f>
        <v>bill_payment</v>
      </c>
      <c r="K527" t="str">
        <f>IFERROR(VLOOKUP(C527, merchants!$A$2:$D$41, 4, FALSE), "Merchant not found")</f>
        <v>East</v>
      </c>
      <c r="L527" s="2">
        <f>HLOOKUP(F527, merchants!$F$1:$I$2, 2, FALSE)</f>
        <v>0.02</v>
      </c>
      <c r="M527" t="str">
        <f t="shared" si="16"/>
        <v>Regular</v>
      </c>
      <c r="N527" s="5">
        <f t="shared" si="17"/>
        <v>46034</v>
      </c>
    </row>
    <row r="528" spans="1:14" x14ac:dyDescent="0.3">
      <c r="A528" t="s">
        <v>541</v>
      </c>
      <c r="B528">
        <v>73</v>
      </c>
      <c r="C528">
        <v>29</v>
      </c>
      <c r="D528" s="1">
        <v>46034.377083333333</v>
      </c>
      <c r="E528">
        <v>399</v>
      </c>
      <c r="F528" t="s">
        <v>24</v>
      </c>
      <c r="G528" t="s">
        <v>10</v>
      </c>
      <c r="H528">
        <v>64</v>
      </c>
      <c r="I528" t="str">
        <f>IFERROR(VLOOKUP(C528, merchants!$A$2:$D$41, 2, FALSE), "Merchant not found")</f>
        <v>Merchant_029</v>
      </c>
      <c r="J528" t="str">
        <f>IFERROR(VLOOKUP(C528, merchants!$A$2:$D$41, 3, FALSE), "Merchant not found")</f>
        <v>ecommerce</v>
      </c>
      <c r="K528" t="str">
        <f>IFERROR(VLOOKUP(C528, merchants!$A$2:$D$41, 4, FALSE), "Merchant not found")</f>
        <v>North</v>
      </c>
      <c r="L528" s="2">
        <f>HLOOKUP(F528, merchants!$F$1:$I$2, 2, FALSE)</f>
        <v>0.02</v>
      </c>
      <c r="M528" t="str">
        <f t="shared" si="16"/>
        <v>Regular</v>
      </c>
      <c r="N528" s="5">
        <f t="shared" si="17"/>
        <v>46034</v>
      </c>
    </row>
    <row r="529" spans="1:14" x14ac:dyDescent="0.3">
      <c r="A529" t="s">
        <v>542</v>
      </c>
      <c r="B529">
        <v>154</v>
      </c>
      <c r="C529">
        <v>8</v>
      </c>
      <c r="D529" s="1">
        <v>46024.916666666664</v>
      </c>
      <c r="E529">
        <v>299</v>
      </c>
      <c r="F529" t="s">
        <v>24</v>
      </c>
      <c r="G529" t="s">
        <v>25</v>
      </c>
      <c r="H529">
        <v>81</v>
      </c>
      <c r="I529" t="str">
        <f>IFERROR(VLOOKUP(C529, merchants!$A$2:$D$41, 2, FALSE), "Merchant not found")</f>
        <v>Merchant_008</v>
      </c>
      <c r="J529" t="str">
        <f>IFERROR(VLOOKUP(C529, merchants!$A$2:$D$41, 3, FALSE), "Merchant not found")</f>
        <v>food_delivery</v>
      </c>
      <c r="K529" t="str">
        <f>IFERROR(VLOOKUP(C529, merchants!$A$2:$D$41, 4, FALSE), "Merchant not found")</f>
        <v>North</v>
      </c>
      <c r="L529" s="2">
        <f>HLOOKUP(F529, merchants!$F$1:$I$2, 2, FALSE)</f>
        <v>0.02</v>
      </c>
      <c r="M529" t="str">
        <f t="shared" si="16"/>
        <v>Regular</v>
      </c>
      <c r="N529" s="5">
        <f t="shared" si="17"/>
        <v>46024</v>
      </c>
    </row>
    <row r="530" spans="1:14" x14ac:dyDescent="0.3">
      <c r="A530" t="s">
        <v>543</v>
      </c>
      <c r="B530">
        <v>154</v>
      </c>
      <c r="C530">
        <v>7</v>
      </c>
      <c r="D530" s="1">
        <v>46024.917361111111</v>
      </c>
      <c r="E530">
        <v>499</v>
      </c>
      <c r="F530" t="s">
        <v>24</v>
      </c>
      <c r="G530" t="s">
        <v>25</v>
      </c>
      <c r="H530">
        <v>70</v>
      </c>
      <c r="I530" t="str">
        <f>IFERROR(VLOOKUP(C530, merchants!$A$2:$D$41, 2, FALSE), "Merchant not found")</f>
        <v>Merchant_007</v>
      </c>
      <c r="J530" t="str">
        <f>IFERROR(VLOOKUP(C530, merchants!$A$2:$D$41, 3, FALSE), "Merchant not found")</f>
        <v>food_delivery</v>
      </c>
      <c r="K530" t="str">
        <f>IFERROR(VLOOKUP(C530, merchants!$A$2:$D$41, 4, FALSE), "Merchant not found")</f>
        <v>East</v>
      </c>
      <c r="L530" s="2">
        <f>HLOOKUP(F530, merchants!$F$1:$I$2, 2, FALSE)</f>
        <v>0.02</v>
      </c>
      <c r="M530" t="str">
        <f t="shared" si="16"/>
        <v>Regular</v>
      </c>
      <c r="N530" s="5">
        <f t="shared" si="17"/>
        <v>46024</v>
      </c>
    </row>
    <row r="531" spans="1:14" x14ac:dyDescent="0.3">
      <c r="A531" t="s">
        <v>544</v>
      </c>
      <c r="B531">
        <v>154</v>
      </c>
      <c r="C531">
        <v>16</v>
      </c>
      <c r="D531" s="1">
        <v>46024.918055555558</v>
      </c>
      <c r="E531">
        <v>499</v>
      </c>
      <c r="F531" t="s">
        <v>24</v>
      </c>
      <c r="G531" t="s">
        <v>25</v>
      </c>
      <c r="H531">
        <v>71</v>
      </c>
      <c r="I531" t="str">
        <f>IFERROR(VLOOKUP(C531, merchants!$A$2:$D$41, 2, FALSE), "Merchant not found")</f>
        <v>Merchant_016</v>
      </c>
      <c r="J531" t="str">
        <f>IFERROR(VLOOKUP(C531, merchants!$A$2:$D$41, 3, FALSE), "Merchant not found")</f>
        <v>bill_payment</v>
      </c>
      <c r="K531" t="str">
        <f>IFERROR(VLOOKUP(C531, merchants!$A$2:$D$41, 4, FALSE), "Merchant not found")</f>
        <v>West</v>
      </c>
      <c r="L531" s="2">
        <f>HLOOKUP(F531, merchants!$F$1:$I$2, 2, FALSE)</f>
        <v>0.02</v>
      </c>
      <c r="M531" t="str">
        <f t="shared" si="16"/>
        <v>Regular</v>
      </c>
      <c r="N531" s="5">
        <f t="shared" si="17"/>
        <v>46024</v>
      </c>
    </row>
    <row r="532" spans="1:14" x14ac:dyDescent="0.3">
      <c r="A532" t="s">
        <v>545</v>
      </c>
      <c r="B532">
        <v>154</v>
      </c>
      <c r="C532">
        <v>36</v>
      </c>
      <c r="D532" s="1">
        <v>46024.918749999997</v>
      </c>
      <c r="E532">
        <v>299</v>
      </c>
      <c r="F532" t="s">
        <v>24</v>
      </c>
      <c r="G532" t="s">
        <v>10</v>
      </c>
      <c r="H532">
        <v>81</v>
      </c>
      <c r="I532" t="str">
        <f>IFERROR(VLOOKUP(C532, merchants!$A$2:$D$41, 2, FALSE), "Merchant not found")</f>
        <v>Merchant_036</v>
      </c>
      <c r="J532" t="str">
        <f>IFERROR(VLOOKUP(C532, merchants!$A$2:$D$41, 3, FALSE), "Merchant not found")</f>
        <v>entertainment</v>
      </c>
      <c r="K532" t="str">
        <f>IFERROR(VLOOKUP(C532, merchants!$A$2:$D$41, 4, FALSE), "Merchant not found")</f>
        <v>East</v>
      </c>
      <c r="L532" s="2">
        <f>HLOOKUP(F532, merchants!$F$1:$I$2, 2, FALSE)</f>
        <v>0.02</v>
      </c>
      <c r="M532" t="str">
        <f t="shared" si="16"/>
        <v>Regular</v>
      </c>
      <c r="N532" s="5">
        <f t="shared" si="17"/>
        <v>46024</v>
      </c>
    </row>
    <row r="533" spans="1:14" x14ac:dyDescent="0.3">
      <c r="A533" t="s">
        <v>546</v>
      </c>
      <c r="B533">
        <v>287</v>
      </c>
      <c r="C533">
        <v>15</v>
      </c>
      <c r="D533" s="1">
        <v>46036.583333333336</v>
      </c>
      <c r="E533">
        <v>399</v>
      </c>
      <c r="F533" t="s">
        <v>24</v>
      </c>
      <c r="G533" t="s">
        <v>25</v>
      </c>
      <c r="H533">
        <v>71</v>
      </c>
      <c r="I533" t="str">
        <f>IFERROR(VLOOKUP(C533, merchants!$A$2:$D$41, 2, FALSE), "Merchant not found")</f>
        <v>Merchant_015</v>
      </c>
      <c r="J533" t="str">
        <f>IFERROR(VLOOKUP(C533, merchants!$A$2:$D$41, 3, FALSE), "Merchant not found")</f>
        <v>travel</v>
      </c>
      <c r="K533" t="str">
        <f>IFERROR(VLOOKUP(C533, merchants!$A$2:$D$41, 4, FALSE), "Merchant not found")</f>
        <v>North</v>
      </c>
      <c r="L533" s="2">
        <f>HLOOKUP(F533, merchants!$F$1:$I$2, 2, FALSE)</f>
        <v>0.02</v>
      </c>
      <c r="M533" t="str">
        <f t="shared" si="16"/>
        <v>Regular</v>
      </c>
      <c r="N533" s="5">
        <f t="shared" si="17"/>
        <v>46036</v>
      </c>
    </row>
    <row r="534" spans="1:14" x14ac:dyDescent="0.3">
      <c r="A534" t="s">
        <v>547</v>
      </c>
      <c r="B534">
        <v>287</v>
      </c>
      <c r="C534">
        <v>12</v>
      </c>
      <c r="D534" s="1">
        <v>46036.584027777775</v>
      </c>
      <c r="E534">
        <v>499</v>
      </c>
      <c r="F534" t="s">
        <v>24</v>
      </c>
      <c r="G534" t="s">
        <v>25</v>
      </c>
      <c r="H534">
        <v>87</v>
      </c>
      <c r="I534" t="str">
        <f>IFERROR(VLOOKUP(C534, merchants!$A$2:$D$41, 2, FALSE), "Merchant not found")</f>
        <v>Merchant_012</v>
      </c>
      <c r="J534" t="str">
        <f>IFERROR(VLOOKUP(C534, merchants!$A$2:$D$41, 3, FALSE), "Merchant not found")</f>
        <v>ecommerce</v>
      </c>
      <c r="K534" t="str">
        <f>IFERROR(VLOOKUP(C534, merchants!$A$2:$D$41, 4, FALSE), "Merchant not found")</f>
        <v>East</v>
      </c>
      <c r="L534" s="2">
        <f>HLOOKUP(F534, merchants!$F$1:$I$2, 2, FALSE)</f>
        <v>0.02</v>
      </c>
      <c r="M534" t="str">
        <f t="shared" si="16"/>
        <v>Regular</v>
      </c>
      <c r="N534" s="5">
        <f t="shared" si="17"/>
        <v>46036</v>
      </c>
    </row>
    <row r="535" spans="1:14" x14ac:dyDescent="0.3">
      <c r="A535" t="s">
        <v>548</v>
      </c>
      <c r="B535">
        <v>287</v>
      </c>
      <c r="C535">
        <v>26</v>
      </c>
      <c r="D535" s="1">
        <v>46036.584722222222</v>
      </c>
      <c r="E535">
        <v>299</v>
      </c>
      <c r="F535" t="s">
        <v>24</v>
      </c>
      <c r="G535" t="s">
        <v>25</v>
      </c>
      <c r="H535">
        <v>72</v>
      </c>
      <c r="I535" t="str">
        <f>IFERROR(VLOOKUP(C535, merchants!$A$2:$D$41, 2, FALSE), "Merchant not found")</f>
        <v>Merchant_026</v>
      </c>
      <c r="J535" t="str">
        <f>IFERROR(VLOOKUP(C535, merchants!$A$2:$D$41, 3, FALSE), "Merchant not found")</f>
        <v>food_delivery</v>
      </c>
      <c r="K535" t="str">
        <f>IFERROR(VLOOKUP(C535, merchants!$A$2:$D$41, 4, FALSE), "Merchant not found")</f>
        <v>East</v>
      </c>
      <c r="L535" s="2">
        <f>HLOOKUP(F535, merchants!$F$1:$I$2, 2, FALSE)</f>
        <v>0.02</v>
      </c>
      <c r="M535" t="str">
        <f t="shared" si="16"/>
        <v>Regular</v>
      </c>
      <c r="N535" s="5">
        <f t="shared" si="17"/>
        <v>46036</v>
      </c>
    </row>
    <row r="536" spans="1:14" x14ac:dyDescent="0.3">
      <c r="A536" t="s">
        <v>549</v>
      </c>
      <c r="B536">
        <v>287</v>
      </c>
      <c r="C536">
        <v>29</v>
      </c>
      <c r="D536" s="1">
        <v>46036.585416666669</v>
      </c>
      <c r="E536">
        <v>499</v>
      </c>
      <c r="F536" t="s">
        <v>24</v>
      </c>
      <c r="G536" t="s">
        <v>10</v>
      </c>
      <c r="H536">
        <v>87</v>
      </c>
      <c r="I536" t="str">
        <f>IFERROR(VLOOKUP(C536, merchants!$A$2:$D$41, 2, FALSE), "Merchant not found")</f>
        <v>Merchant_029</v>
      </c>
      <c r="J536" t="str">
        <f>IFERROR(VLOOKUP(C536, merchants!$A$2:$D$41, 3, FALSE), "Merchant not found")</f>
        <v>ecommerce</v>
      </c>
      <c r="K536" t="str">
        <f>IFERROR(VLOOKUP(C536, merchants!$A$2:$D$41, 4, FALSE), "Merchant not found")</f>
        <v>North</v>
      </c>
      <c r="L536" s="2">
        <f>HLOOKUP(F536, merchants!$F$1:$I$2, 2, FALSE)</f>
        <v>0.02</v>
      </c>
      <c r="M536" t="str">
        <f t="shared" si="16"/>
        <v>Regular</v>
      </c>
      <c r="N536" s="5">
        <f t="shared" si="17"/>
        <v>46036</v>
      </c>
    </row>
    <row r="537" spans="1:14" x14ac:dyDescent="0.3">
      <c r="A537" t="s">
        <v>550</v>
      </c>
      <c r="B537">
        <v>200</v>
      </c>
      <c r="C537">
        <v>14</v>
      </c>
      <c r="D537" s="1">
        <v>46023.916666666664</v>
      </c>
      <c r="E537">
        <v>299</v>
      </c>
      <c r="F537" t="s">
        <v>24</v>
      </c>
      <c r="G537" t="s">
        <v>25</v>
      </c>
      <c r="H537">
        <v>77</v>
      </c>
      <c r="I537" t="str">
        <f>IFERROR(VLOOKUP(C537, merchants!$A$2:$D$41, 2, FALSE), "Merchant not found")</f>
        <v>Merchant_014</v>
      </c>
      <c r="J537" t="str">
        <f>IFERROR(VLOOKUP(C537, merchants!$A$2:$D$41, 3, FALSE), "Merchant not found")</f>
        <v>grocery</v>
      </c>
      <c r="K537" t="str">
        <f>IFERROR(VLOOKUP(C537, merchants!$A$2:$D$41, 4, FALSE), "Merchant not found")</f>
        <v>East</v>
      </c>
      <c r="L537" s="2">
        <f>HLOOKUP(F537, merchants!$F$1:$I$2, 2, FALSE)</f>
        <v>0.02</v>
      </c>
      <c r="M537" t="str">
        <f t="shared" si="16"/>
        <v>Regular</v>
      </c>
      <c r="N537" s="5">
        <f t="shared" si="17"/>
        <v>46023</v>
      </c>
    </row>
    <row r="538" spans="1:14" x14ac:dyDescent="0.3">
      <c r="A538" t="s">
        <v>551</v>
      </c>
      <c r="B538">
        <v>200</v>
      </c>
      <c r="C538">
        <v>5</v>
      </c>
      <c r="D538" s="1">
        <v>46023.917361111111</v>
      </c>
      <c r="E538">
        <v>499</v>
      </c>
      <c r="F538" t="s">
        <v>24</v>
      </c>
      <c r="G538" t="s">
        <v>25</v>
      </c>
      <c r="H538">
        <v>66</v>
      </c>
      <c r="I538" t="str">
        <f>IFERROR(VLOOKUP(C538, merchants!$A$2:$D$41, 2, FALSE), "Merchant not found")</f>
        <v>Merchant_005</v>
      </c>
      <c r="J538" t="str">
        <f>IFERROR(VLOOKUP(C538, merchants!$A$2:$D$41, 3, FALSE), "Merchant not found")</f>
        <v>recharge</v>
      </c>
      <c r="K538" t="str">
        <f>IFERROR(VLOOKUP(C538, merchants!$A$2:$D$41, 4, FALSE), "Merchant not found")</f>
        <v>South</v>
      </c>
      <c r="L538" s="2">
        <f>HLOOKUP(F538, merchants!$F$1:$I$2, 2, FALSE)</f>
        <v>0.02</v>
      </c>
      <c r="M538" t="str">
        <f t="shared" si="16"/>
        <v>Regular</v>
      </c>
      <c r="N538" s="5">
        <f t="shared" si="17"/>
        <v>46023</v>
      </c>
    </row>
    <row r="539" spans="1:14" x14ac:dyDescent="0.3">
      <c r="A539" t="s">
        <v>552</v>
      </c>
      <c r="B539">
        <v>200</v>
      </c>
      <c r="C539">
        <v>35</v>
      </c>
      <c r="D539" s="1">
        <v>46023.918055555558</v>
      </c>
      <c r="E539">
        <v>299</v>
      </c>
      <c r="F539" t="s">
        <v>24</v>
      </c>
      <c r="G539" t="s">
        <v>25</v>
      </c>
      <c r="H539">
        <v>83</v>
      </c>
      <c r="I539" t="str">
        <f>IFERROR(VLOOKUP(C539, merchants!$A$2:$D$41, 2, FALSE), "Merchant not found")</f>
        <v>Merchant_035</v>
      </c>
      <c r="J539" t="str">
        <f>IFERROR(VLOOKUP(C539, merchants!$A$2:$D$41, 3, FALSE), "Merchant not found")</f>
        <v>recharge</v>
      </c>
      <c r="K539" t="str">
        <f>IFERROR(VLOOKUP(C539, merchants!$A$2:$D$41, 4, FALSE), "Merchant not found")</f>
        <v>East</v>
      </c>
      <c r="L539" s="2">
        <f>HLOOKUP(F539, merchants!$F$1:$I$2, 2, FALSE)</f>
        <v>0.02</v>
      </c>
      <c r="M539" t="str">
        <f t="shared" si="16"/>
        <v>Regular</v>
      </c>
      <c r="N539" s="5">
        <f t="shared" si="17"/>
        <v>46023</v>
      </c>
    </row>
    <row r="540" spans="1:14" x14ac:dyDescent="0.3">
      <c r="A540" t="s">
        <v>553</v>
      </c>
      <c r="B540">
        <v>200</v>
      </c>
      <c r="C540">
        <v>21</v>
      </c>
      <c r="D540" s="1">
        <v>46023.918749999997</v>
      </c>
      <c r="E540">
        <v>299</v>
      </c>
      <c r="F540" t="s">
        <v>24</v>
      </c>
      <c r="G540" t="s">
        <v>10</v>
      </c>
      <c r="H540">
        <v>89</v>
      </c>
      <c r="I540" t="str">
        <f>IFERROR(VLOOKUP(C540, merchants!$A$2:$D$41, 2, FALSE), "Merchant not found")</f>
        <v>Merchant_021</v>
      </c>
      <c r="J540" t="str">
        <f>IFERROR(VLOOKUP(C540, merchants!$A$2:$D$41, 3, FALSE), "Merchant not found")</f>
        <v>food_delivery</v>
      </c>
      <c r="K540" t="str">
        <f>IFERROR(VLOOKUP(C540, merchants!$A$2:$D$41, 4, FALSE), "Merchant not found")</f>
        <v>East</v>
      </c>
      <c r="L540" s="2">
        <f>HLOOKUP(F540, merchants!$F$1:$I$2, 2, FALSE)</f>
        <v>0.02</v>
      </c>
      <c r="M540" t="str">
        <f t="shared" si="16"/>
        <v>Regular</v>
      </c>
      <c r="N540" s="5">
        <f t="shared" si="17"/>
        <v>46023</v>
      </c>
    </row>
    <row r="541" spans="1:14" x14ac:dyDescent="0.3">
      <c r="A541" t="s">
        <v>554</v>
      </c>
      <c r="B541">
        <v>59</v>
      </c>
      <c r="C541">
        <v>32</v>
      </c>
      <c r="D541" s="1">
        <v>46031.875</v>
      </c>
      <c r="E541">
        <v>499</v>
      </c>
      <c r="F541" t="s">
        <v>24</v>
      </c>
      <c r="G541" t="s">
        <v>25</v>
      </c>
      <c r="H541">
        <v>80</v>
      </c>
      <c r="I541" t="str">
        <f>IFERROR(VLOOKUP(C541, merchants!$A$2:$D$41, 2, FALSE), "Merchant not found")</f>
        <v>Merchant_032</v>
      </c>
      <c r="J541" t="str">
        <f>IFERROR(VLOOKUP(C541, merchants!$A$2:$D$41, 3, FALSE), "Merchant not found")</f>
        <v>food_delivery</v>
      </c>
      <c r="K541" t="str">
        <f>IFERROR(VLOOKUP(C541, merchants!$A$2:$D$41, 4, FALSE), "Merchant not found")</f>
        <v>West</v>
      </c>
      <c r="L541" s="2">
        <f>HLOOKUP(F541, merchants!$F$1:$I$2, 2, FALSE)</f>
        <v>0.02</v>
      </c>
      <c r="M541" t="str">
        <f t="shared" si="16"/>
        <v>Regular</v>
      </c>
      <c r="N541" s="5">
        <f t="shared" si="17"/>
        <v>46031</v>
      </c>
    </row>
    <row r="542" spans="1:14" x14ac:dyDescent="0.3">
      <c r="A542" t="s">
        <v>555</v>
      </c>
      <c r="B542">
        <v>59</v>
      </c>
      <c r="C542">
        <v>39</v>
      </c>
      <c r="D542" s="1">
        <v>46031.875694444447</v>
      </c>
      <c r="E542">
        <v>399</v>
      </c>
      <c r="F542" t="s">
        <v>24</v>
      </c>
      <c r="G542" t="s">
        <v>25</v>
      </c>
      <c r="H542">
        <v>85</v>
      </c>
      <c r="I542" t="str">
        <f>IFERROR(VLOOKUP(C542, merchants!$A$2:$D$41, 2, FALSE), "Merchant not found")</f>
        <v>Merchant_039</v>
      </c>
      <c r="J542" t="str">
        <f>IFERROR(VLOOKUP(C542, merchants!$A$2:$D$41, 3, FALSE), "Merchant not found")</f>
        <v>entertainment</v>
      </c>
      <c r="K542" t="str">
        <f>IFERROR(VLOOKUP(C542, merchants!$A$2:$D$41, 4, FALSE), "Merchant not found")</f>
        <v>North</v>
      </c>
      <c r="L542" s="2">
        <f>HLOOKUP(F542, merchants!$F$1:$I$2, 2, FALSE)</f>
        <v>0.02</v>
      </c>
      <c r="M542" t="str">
        <f t="shared" si="16"/>
        <v>Regular</v>
      </c>
      <c r="N542" s="5">
        <f t="shared" si="17"/>
        <v>46031</v>
      </c>
    </row>
    <row r="543" spans="1:14" x14ac:dyDescent="0.3">
      <c r="A543" t="s">
        <v>556</v>
      </c>
      <c r="B543">
        <v>59</v>
      </c>
      <c r="C543">
        <v>38</v>
      </c>
      <c r="D543" s="1">
        <v>46031.876388888886</v>
      </c>
      <c r="E543">
        <v>299</v>
      </c>
      <c r="F543" t="s">
        <v>24</v>
      </c>
      <c r="G543" t="s">
        <v>25</v>
      </c>
      <c r="H543">
        <v>82</v>
      </c>
      <c r="I543" t="str">
        <f>IFERROR(VLOOKUP(C543, merchants!$A$2:$D$41, 2, FALSE), "Merchant not found")</f>
        <v>Merchant_038</v>
      </c>
      <c r="J543" t="str">
        <f>IFERROR(VLOOKUP(C543, merchants!$A$2:$D$41, 3, FALSE), "Merchant not found")</f>
        <v>grocery</v>
      </c>
      <c r="K543" t="str">
        <f>IFERROR(VLOOKUP(C543, merchants!$A$2:$D$41, 4, FALSE), "Merchant not found")</f>
        <v>East</v>
      </c>
      <c r="L543" s="2">
        <f>HLOOKUP(F543, merchants!$F$1:$I$2, 2, FALSE)</f>
        <v>0.02</v>
      </c>
      <c r="M543" t="str">
        <f t="shared" si="16"/>
        <v>Regular</v>
      </c>
      <c r="N543" s="5">
        <f t="shared" si="17"/>
        <v>46031</v>
      </c>
    </row>
    <row r="544" spans="1:14" x14ac:dyDescent="0.3">
      <c r="A544" t="s">
        <v>557</v>
      </c>
      <c r="B544">
        <v>59</v>
      </c>
      <c r="C544">
        <v>23</v>
      </c>
      <c r="D544" s="1">
        <v>46031.877083333333</v>
      </c>
      <c r="E544">
        <v>399</v>
      </c>
      <c r="F544" t="s">
        <v>24</v>
      </c>
      <c r="G544" t="s">
        <v>10</v>
      </c>
      <c r="H544">
        <v>71</v>
      </c>
      <c r="I544" t="str">
        <f>IFERROR(VLOOKUP(C544, merchants!$A$2:$D$41, 2, FALSE), "Merchant not found")</f>
        <v>Merchant_023</v>
      </c>
      <c r="J544" t="str">
        <f>IFERROR(VLOOKUP(C544, merchants!$A$2:$D$41, 3, FALSE), "Merchant not found")</f>
        <v>travel</v>
      </c>
      <c r="K544" t="str">
        <f>IFERROR(VLOOKUP(C544, merchants!$A$2:$D$41, 4, FALSE), "Merchant not found")</f>
        <v>North</v>
      </c>
      <c r="L544" s="2">
        <f>HLOOKUP(F544, merchants!$F$1:$I$2, 2, FALSE)</f>
        <v>0.02</v>
      </c>
      <c r="M544" t="str">
        <f t="shared" si="16"/>
        <v>Regular</v>
      </c>
      <c r="N544" s="5">
        <f t="shared" si="17"/>
        <v>46031</v>
      </c>
    </row>
    <row r="545" spans="1:14" x14ac:dyDescent="0.3">
      <c r="A545" t="s">
        <v>558</v>
      </c>
      <c r="B545">
        <v>345</v>
      </c>
      <c r="C545">
        <v>40</v>
      </c>
      <c r="D545" s="1">
        <v>46045.375</v>
      </c>
      <c r="E545">
        <v>499</v>
      </c>
      <c r="F545" t="s">
        <v>24</v>
      </c>
      <c r="G545" t="s">
        <v>25</v>
      </c>
      <c r="H545">
        <v>65</v>
      </c>
      <c r="I545" t="str">
        <f>IFERROR(VLOOKUP(C545, merchants!$A$2:$D$41, 2, FALSE), "Merchant not found")</f>
        <v>Merchant_040</v>
      </c>
      <c r="J545" t="str">
        <f>IFERROR(VLOOKUP(C545, merchants!$A$2:$D$41, 3, FALSE), "Merchant not found")</f>
        <v>entertainment</v>
      </c>
      <c r="K545" t="str">
        <f>IFERROR(VLOOKUP(C545, merchants!$A$2:$D$41, 4, FALSE), "Merchant not found")</f>
        <v>South</v>
      </c>
      <c r="L545" s="2">
        <f>HLOOKUP(F545, merchants!$F$1:$I$2, 2, FALSE)</f>
        <v>0.02</v>
      </c>
      <c r="M545" t="str">
        <f t="shared" si="16"/>
        <v>Regular</v>
      </c>
      <c r="N545" s="5">
        <f t="shared" si="17"/>
        <v>46045</v>
      </c>
    </row>
    <row r="546" spans="1:14" x14ac:dyDescent="0.3">
      <c r="A546" t="s">
        <v>559</v>
      </c>
      <c r="B546">
        <v>345</v>
      </c>
      <c r="C546">
        <v>9</v>
      </c>
      <c r="D546" s="1">
        <v>46045.375694444447</v>
      </c>
      <c r="E546">
        <v>399</v>
      </c>
      <c r="F546" t="s">
        <v>24</v>
      </c>
      <c r="G546" t="s">
        <v>25</v>
      </c>
      <c r="H546">
        <v>67</v>
      </c>
      <c r="I546" t="str">
        <f>IFERROR(VLOOKUP(C546, merchants!$A$2:$D$41, 2, FALSE), "Merchant not found")</f>
        <v>Merchant_009</v>
      </c>
      <c r="J546" t="str">
        <f>IFERROR(VLOOKUP(C546, merchants!$A$2:$D$41, 3, FALSE), "Merchant not found")</f>
        <v>ecommerce</v>
      </c>
      <c r="K546" t="str">
        <f>IFERROR(VLOOKUP(C546, merchants!$A$2:$D$41, 4, FALSE), "Merchant not found")</f>
        <v>North</v>
      </c>
      <c r="L546" s="2">
        <f>HLOOKUP(F546, merchants!$F$1:$I$2, 2, FALSE)</f>
        <v>0.02</v>
      </c>
      <c r="M546" t="str">
        <f t="shared" si="16"/>
        <v>Regular</v>
      </c>
      <c r="N546" s="5">
        <f t="shared" si="17"/>
        <v>46045</v>
      </c>
    </row>
    <row r="547" spans="1:14" x14ac:dyDescent="0.3">
      <c r="A547" t="s">
        <v>560</v>
      </c>
      <c r="B547">
        <v>345</v>
      </c>
      <c r="C547">
        <v>16</v>
      </c>
      <c r="D547" s="1">
        <v>46045.376388888886</v>
      </c>
      <c r="E547">
        <v>399</v>
      </c>
      <c r="F547" t="s">
        <v>24</v>
      </c>
      <c r="G547" t="s">
        <v>25</v>
      </c>
      <c r="H547">
        <v>67</v>
      </c>
      <c r="I547" t="str">
        <f>IFERROR(VLOOKUP(C547, merchants!$A$2:$D$41, 2, FALSE), "Merchant not found")</f>
        <v>Merchant_016</v>
      </c>
      <c r="J547" t="str">
        <f>IFERROR(VLOOKUP(C547, merchants!$A$2:$D$41, 3, FALSE), "Merchant not found")</f>
        <v>bill_payment</v>
      </c>
      <c r="K547" t="str">
        <f>IFERROR(VLOOKUP(C547, merchants!$A$2:$D$41, 4, FALSE), "Merchant not found")</f>
        <v>West</v>
      </c>
      <c r="L547" s="2">
        <f>HLOOKUP(F547, merchants!$F$1:$I$2, 2, FALSE)</f>
        <v>0.02</v>
      </c>
      <c r="M547" t="str">
        <f t="shared" si="16"/>
        <v>Regular</v>
      </c>
      <c r="N547" s="5">
        <f t="shared" si="17"/>
        <v>46045</v>
      </c>
    </row>
    <row r="548" spans="1:14" x14ac:dyDescent="0.3">
      <c r="A548" t="s">
        <v>561</v>
      </c>
      <c r="B548">
        <v>345</v>
      </c>
      <c r="C548">
        <v>12</v>
      </c>
      <c r="D548" s="1">
        <v>46045.377083333333</v>
      </c>
      <c r="E548">
        <v>399</v>
      </c>
      <c r="F548" t="s">
        <v>24</v>
      </c>
      <c r="G548" t="s">
        <v>10</v>
      </c>
      <c r="H548">
        <v>69</v>
      </c>
      <c r="I548" t="str">
        <f>IFERROR(VLOOKUP(C548, merchants!$A$2:$D$41, 2, FALSE), "Merchant not found")</f>
        <v>Merchant_012</v>
      </c>
      <c r="J548" t="str">
        <f>IFERROR(VLOOKUP(C548, merchants!$A$2:$D$41, 3, FALSE), "Merchant not found")</f>
        <v>ecommerce</v>
      </c>
      <c r="K548" t="str">
        <f>IFERROR(VLOOKUP(C548, merchants!$A$2:$D$41, 4, FALSE), "Merchant not found")</f>
        <v>East</v>
      </c>
      <c r="L548" s="2">
        <f>HLOOKUP(F548, merchants!$F$1:$I$2, 2, FALSE)</f>
        <v>0.02</v>
      </c>
      <c r="M548" t="str">
        <f t="shared" si="16"/>
        <v>Regular</v>
      </c>
      <c r="N548" s="5">
        <f t="shared" si="17"/>
        <v>46045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F0FC-1F4E-4C12-BCC1-64AA87E4C08C}">
  <dimension ref="A1:I41"/>
  <sheetViews>
    <sheetView workbookViewId="0">
      <selection activeCell="J2" sqref="J2"/>
    </sheetView>
  </sheetViews>
  <sheetFormatPr defaultRowHeight="14.4" x14ac:dyDescent="0.3"/>
  <cols>
    <col min="2" max="2" width="14.21875" bestFit="1" customWidth="1"/>
    <col min="9" max="9" width="10.109375" bestFit="1" customWidth="1"/>
  </cols>
  <sheetData>
    <row r="1" spans="1:9" x14ac:dyDescent="0.3">
      <c r="A1" t="s">
        <v>2</v>
      </c>
      <c r="B1" t="s">
        <v>562</v>
      </c>
      <c r="C1" t="s">
        <v>563</v>
      </c>
      <c r="D1" t="s">
        <v>564</v>
      </c>
      <c r="F1" t="s">
        <v>12</v>
      </c>
      <c r="G1" t="s">
        <v>9</v>
      </c>
      <c r="H1" t="s">
        <v>24</v>
      </c>
      <c r="I1" t="s">
        <v>15</v>
      </c>
    </row>
    <row r="2" spans="1:9" x14ac:dyDescent="0.3">
      <c r="A2">
        <v>1</v>
      </c>
      <c r="B2" t="s">
        <v>565</v>
      </c>
      <c r="C2" t="s">
        <v>566</v>
      </c>
      <c r="D2" t="s">
        <v>567</v>
      </c>
      <c r="F2" s="2">
        <v>0</v>
      </c>
      <c r="G2" s="2">
        <v>1.4999999999999999E-2</v>
      </c>
      <c r="H2" s="2">
        <v>0.02</v>
      </c>
      <c r="I2" s="2">
        <v>1.7999999999999999E-2</v>
      </c>
    </row>
    <row r="3" spans="1:9" x14ac:dyDescent="0.3">
      <c r="A3">
        <v>2</v>
      </c>
      <c r="B3" t="s">
        <v>568</v>
      </c>
      <c r="C3" t="s">
        <v>569</v>
      </c>
      <c r="D3" t="s">
        <v>570</v>
      </c>
    </row>
    <row r="4" spans="1:9" x14ac:dyDescent="0.3">
      <c r="A4">
        <v>3</v>
      </c>
      <c r="B4" t="s">
        <v>571</v>
      </c>
      <c r="C4" t="s">
        <v>569</v>
      </c>
      <c r="D4" t="s">
        <v>572</v>
      </c>
    </row>
    <row r="5" spans="1:9" x14ac:dyDescent="0.3">
      <c r="A5">
        <v>4</v>
      </c>
      <c r="B5" t="s">
        <v>573</v>
      </c>
      <c r="C5" t="s">
        <v>566</v>
      </c>
      <c r="D5" t="s">
        <v>572</v>
      </c>
    </row>
    <row r="6" spans="1:9" x14ac:dyDescent="0.3">
      <c r="A6">
        <v>5</v>
      </c>
      <c r="B6" t="s">
        <v>574</v>
      </c>
      <c r="C6" t="s">
        <v>575</v>
      </c>
      <c r="D6" t="s">
        <v>567</v>
      </c>
    </row>
    <row r="7" spans="1:9" x14ac:dyDescent="0.3">
      <c r="A7">
        <v>6</v>
      </c>
      <c r="B7" t="s">
        <v>576</v>
      </c>
      <c r="C7" t="s">
        <v>577</v>
      </c>
      <c r="D7" t="s">
        <v>567</v>
      </c>
    </row>
    <row r="8" spans="1:9" x14ac:dyDescent="0.3">
      <c r="A8">
        <v>7</v>
      </c>
      <c r="B8" t="s">
        <v>578</v>
      </c>
      <c r="C8" t="s">
        <v>577</v>
      </c>
      <c r="D8" t="s">
        <v>572</v>
      </c>
    </row>
    <row r="9" spans="1:9" x14ac:dyDescent="0.3">
      <c r="A9">
        <v>8</v>
      </c>
      <c r="B9" t="s">
        <v>579</v>
      </c>
      <c r="C9" t="s">
        <v>577</v>
      </c>
      <c r="D9" t="s">
        <v>580</v>
      </c>
    </row>
    <row r="10" spans="1:9" x14ac:dyDescent="0.3">
      <c r="A10">
        <v>9</v>
      </c>
      <c r="B10" t="s">
        <v>581</v>
      </c>
      <c r="C10" t="s">
        <v>566</v>
      </c>
      <c r="D10" t="s">
        <v>580</v>
      </c>
    </row>
    <row r="11" spans="1:9" x14ac:dyDescent="0.3">
      <c r="A11">
        <v>10</v>
      </c>
      <c r="B11" t="s">
        <v>582</v>
      </c>
      <c r="C11" t="s">
        <v>569</v>
      </c>
      <c r="D11" t="s">
        <v>570</v>
      </c>
    </row>
    <row r="12" spans="1:9" x14ac:dyDescent="0.3">
      <c r="A12">
        <v>11</v>
      </c>
      <c r="B12" t="s">
        <v>583</v>
      </c>
      <c r="C12" t="s">
        <v>566</v>
      </c>
      <c r="D12" t="s">
        <v>580</v>
      </c>
    </row>
    <row r="13" spans="1:9" x14ac:dyDescent="0.3">
      <c r="A13">
        <v>12</v>
      </c>
      <c r="B13" t="s">
        <v>584</v>
      </c>
      <c r="C13" t="s">
        <v>566</v>
      </c>
      <c r="D13" t="s">
        <v>572</v>
      </c>
    </row>
    <row r="14" spans="1:9" x14ac:dyDescent="0.3">
      <c r="A14">
        <v>13</v>
      </c>
      <c r="B14" t="s">
        <v>585</v>
      </c>
      <c r="C14" t="s">
        <v>586</v>
      </c>
      <c r="D14" t="s">
        <v>572</v>
      </c>
    </row>
    <row r="15" spans="1:9" x14ac:dyDescent="0.3">
      <c r="A15">
        <v>14</v>
      </c>
      <c r="B15" t="s">
        <v>587</v>
      </c>
      <c r="C15" t="s">
        <v>569</v>
      </c>
      <c r="D15" t="s">
        <v>572</v>
      </c>
    </row>
    <row r="16" spans="1:9" x14ac:dyDescent="0.3">
      <c r="A16">
        <v>15</v>
      </c>
      <c r="B16" t="s">
        <v>588</v>
      </c>
      <c r="C16" t="s">
        <v>586</v>
      </c>
      <c r="D16" t="s">
        <v>580</v>
      </c>
    </row>
    <row r="17" spans="1:4" x14ac:dyDescent="0.3">
      <c r="A17">
        <v>16</v>
      </c>
      <c r="B17" t="s">
        <v>589</v>
      </c>
      <c r="C17" t="s">
        <v>590</v>
      </c>
      <c r="D17" t="s">
        <v>570</v>
      </c>
    </row>
    <row r="18" spans="1:4" x14ac:dyDescent="0.3">
      <c r="A18">
        <v>17</v>
      </c>
      <c r="B18" t="s">
        <v>591</v>
      </c>
      <c r="C18" t="s">
        <v>569</v>
      </c>
      <c r="D18" t="s">
        <v>580</v>
      </c>
    </row>
    <row r="19" spans="1:4" x14ac:dyDescent="0.3">
      <c r="A19">
        <v>18</v>
      </c>
      <c r="B19" t="s">
        <v>592</v>
      </c>
      <c r="C19" t="s">
        <v>569</v>
      </c>
      <c r="D19" t="s">
        <v>570</v>
      </c>
    </row>
    <row r="20" spans="1:4" x14ac:dyDescent="0.3">
      <c r="A20">
        <v>19</v>
      </c>
      <c r="B20" t="s">
        <v>593</v>
      </c>
      <c r="C20" t="s">
        <v>569</v>
      </c>
      <c r="D20" t="s">
        <v>580</v>
      </c>
    </row>
    <row r="21" spans="1:4" x14ac:dyDescent="0.3">
      <c r="A21">
        <v>20</v>
      </c>
      <c r="B21" t="s">
        <v>594</v>
      </c>
      <c r="C21" t="s">
        <v>577</v>
      </c>
      <c r="D21" t="s">
        <v>572</v>
      </c>
    </row>
    <row r="22" spans="1:4" x14ac:dyDescent="0.3">
      <c r="A22">
        <v>21</v>
      </c>
      <c r="B22" t="s">
        <v>595</v>
      </c>
      <c r="C22" t="s">
        <v>577</v>
      </c>
      <c r="D22" t="s">
        <v>572</v>
      </c>
    </row>
    <row r="23" spans="1:4" x14ac:dyDescent="0.3">
      <c r="A23">
        <v>22</v>
      </c>
      <c r="B23" t="s">
        <v>596</v>
      </c>
      <c r="C23" t="s">
        <v>586</v>
      </c>
      <c r="D23" t="s">
        <v>567</v>
      </c>
    </row>
    <row r="24" spans="1:4" x14ac:dyDescent="0.3">
      <c r="A24">
        <v>23</v>
      </c>
      <c r="B24" t="s">
        <v>597</v>
      </c>
      <c r="C24" t="s">
        <v>586</v>
      </c>
      <c r="D24" t="s">
        <v>580</v>
      </c>
    </row>
    <row r="25" spans="1:4" x14ac:dyDescent="0.3">
      <c r="A25">
        <v>24</v>
      </c>
      <c r="B25" t="s">
        <v>598</v>
      </c>
      <c r="C25" t="s">
        <v>569</v>
      </c>
      <c r="D25" t="s">
        <v>580</v>
      </c>
    </row>
    <row r="26" spans="1:4" x14ac:dyDescent="0.3">
      <c r="A26">
        <v>25</v>
      </c>
      <c r="B26" t="s">
        <v>599</v>
      </c>
      <c r="C26" t="s">
        <v>586</v>
      </c>
      <c r="D26" t="s">
        <v>567</v>
      </c>
    </row>
    <row r="27" spans="1:4" x14ac:dyDescent="0.3">
      <c r="A27">
        <v>26</v>
      </c>
      <c r="B27" t="s">
        <v>600</v>
      </c>
      <c r="C27" t="s">
        <v>577</v>
      </c>
      <c r="D27" t="s">
        <v>572</v>
      </c>
    </row>
    <row r="28" spans="1:4" x14ac:dyDescent="0.3">
      <c r="A28">
        <v>27</v>
      </c>
      <c r="B28" t="s">
        <v>601</v>
      </c>
      <c r="C28" t="s">
        <v>566</v>
      </c>
      <c r="D28" t="s">
        <v>580</v>
      </c>
    </row>
    <row r="29" spans="1:4" x14ac:dyDescent="0.3">
      <c r="A29">
        <v>28</v>
      </c>
      <c r="B29" t="s">
        <v>602</v>
      </c>
      <c r="C29" t="s">
        <v>566</v>
      </c>
      <c r="D29" t="s">
        <v>567</v>
      </c>
    </row>
    <row r="30" spans="1:4" x14ac:dyDescent="0.3">
      <c r="A30">
        <v>29</v>
      </c>
      <c r="B30" t="s">
        <v>603</v>
      </c>
      <c r="C30" t="s">
        <v>566</v>
      </c>
      <c r="D30" t="s">
        <v>580</v>
      </c>
    </row>
    <row r="31" spans="1:4" x14ac:dyDescent="0.3">
      <c r="A31">
        <v>30</v>
      </c>
      <c r="B31" t="s">
        <v>604</v>
      </c>
      <c r="C31" t="s">
        <v>586</v>
      </c>
      <c r="D31" t="s">
        <v>570</v>
      </c>
    </row>
    <row r="32" spans="1:4" x14ac:dyDescent="0.3">
      <c r="A32">
        <v>31</v>
      </c>
      <c r="B32" t="s">
        <v>605</v>
      </c>
      <c r="C32" t="s">
        <v>590</v>
      </c>
      <c r="D32" t="s">
        <v>572</v>
      </c>
    </row>
    <row r="33" spans="1:4" x14ac:dyDescent="0.3">
      <c r="A33">
        <v>32</v>
      </c>
      <c r="B33" t="s">
        <v>606</v>
      </c>
      <c r="C33" t="s">
        <v>577</v>
      </c>
      <c r="D33" t="s">
        <v>570</v>
      </c>
    </row>
    <row r="34" spans="1:4" x14ac:dyDescent="0.3">
      <c r="A34">
        <v>33</v>
      </c>
      <c r="B34" t="s">
        <v>607</v>
      </c>
      <c r="C34" t="s">
        <v>590</v>
      </c>
      <c r="D34" t="s">
        <v>572</v>
      </c>
    </row>
    <row r="35" spans="1:4" x14ac:dyDescent="0.3">
      <c r="A35">
        <v>34</v>
      </c>
      <c r="B35" t="s">
        <v>608</v>
      </c>
      <c r="C35" t="s">
        <v>586</v>
      </c>
      <c r="D35" t="s">
        <v>567</v>
      </c>
    </row>
    <row r="36" spans="1:4" x14ac:dyDescent="0.3">
      <c r="A36">
        <v>35</v>
      </c>
      <c r="B36" t="s">
        <v>609</v>
      </c>
      <c r="C36" t="s">
        <v>575</v>
      </c>
      <c r="D36" t="s">
        <v>572</v>
      </c>
    </row>
    <row r="37" spans="1:4" x14ac:dyDescent="0.3">
      <c r="A37">
        <v>36</v>
      </c>
      <c r="B37" t="s">
        <v>610</v>
      </c>
      <c r="C37" t="s">
        <v>611</v>
      </c>
      <c r="D37" t="s">
        <v>572</v>
      </c>
    </row>
    <row r="38" spans="1:4" x14ac:dyDescent="0.3">
      <c r="A38">
        <v>37</v>
      </c>
      <c r="B38" t="s">
        <v>612</v>
      </c>
      <c r="C38" t="s">
        <v>611</v>
      </c>
      <c r="D38" t="s">
        <v>567</v>
      </c>
    </row>
    <row r="39" spans="1:4" x14ac:dyDescent="0.3">
      <c r="A39">
        <v>38</v>
      </c>
      <c r="B39" t="s">
        <v>613</v>
      </c>
      <c r="C39" t="s">
        <v>569</v>
      </c>
      <c r="D39" t="s">
        <v>572</v>
      </c>
    </row>
    <row r="40" spans="1:4" x14ac:dyDescent="0.3">
      <c r="A40">
        <v>39</v>
      </c>
      <c r="B40" t="s">
        <v>614</v>
      </c>
      <c r="C40" t="s">
        <v>611</v>
      </c>
      <c r="D40" t="s">
        <v>580</v>
      </c>
    </row>
    <row r="41" spans="1:4" x14ac:dyDescent="0.3">
      <c r="A41">
        <v>40</v>
      </c>
      <c r="B41" t="s">
        <v>615</v>
      </c>
      <c r="C41" t="s">
        <v>611</v>
      </c>
      <c r="D41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pivot_summary</vt:lpstr>
      <vt:lpstr>transactions</vt:lpstr>
      <vt:lpstr>merchants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divyagra78@gmail.com</cp:lastModifiedBy>
  <dcterms:created xsi:type="dcterms:W3CDTF">2026-08-24T15:47:02Z</dcterms:created>
  <dcterms:modified xsi:type="dcterms:W3CDTF">2026-08-24T17:05:02Z</dcterms:modified>
</cp:coreProperties>
</file>